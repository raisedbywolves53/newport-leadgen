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Two Routes" sheetId="2" state="visible" r:id="rId4"/>
    <sheet name="5-Year Model" sheetId="3" state="visible" r:id="rId5"/>
    <sheet name="Market Analysis" sheetId="4" state="visible" r:id="rId6"/>
    <sheet name="Key Ques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<sst xmlns="http://schemas.openxmlformats.org/spreadsheetml/2006/main" count="470" uniqueCount="391">
  <si>
    <t xml:space="preserve">INPUT ASSUMPTIONS</t>
  </si>
  <si>
    <t xml:space="preserve">Blue = editable  |  Yellow = Newport provides  |  Black = calculated</t>
  </si>
  <si>
    <t xml:space="preserve">NEWPORT INPUTS (yellow cells need your answers)</t>
  </si>
  <si>
    <t xml:space="preserve">Item</t>
  </si>
  <si>
    <t xml:space="preserve">Your Answer</t>
  </si>
  <si>
    <t xml:space="preserve">Why This Matters</t>
  </si>
  <si>
    <t xml:space="preserve">Current Annual Revenue</t>
  </si>
  <si>
    <t xml:space="preserve">Scale of gov entry relative to core business</t>
  </si>
  <si>
    <t xml:space="preserve">Current Gross Margin (%)</t>
  </si>
  <si>
    <t xml:space="preserve">Baseline for government pricing strategy</t>
  </si>
  <si>
    <t xml:space="preserve">Delivery Radius (miles from FL warehouse)</t>
  </si>
  <si>
    <t xml:space="preserve">FL only = $85M TAM. SE region = $179M TAM</t>
  </si>
  <si>
    <t xml:space="preserve">Refrigerated/Temp-Controlled Delivery? (Y/N)</t>
  </si>
  <si>
    <t xml:space="preserve">Opens or closes entire product categories</t>
  </si>
  <si>
    <t xml:space="preserve"># of Confectionery/Snack/Nut SKUs</t>
  </si>
  <si>
    <t xml:space="preserve">More SKUs = eligible for more bid opportunities</t>
  </si>
  <si>
    <t xml:space="preserve">Food Safety Certifications? (SQF/GFSI/FDA)</t>
  </si>
  <si>
    <t xml:space="preserve">$0 if certified. Up to $23.5K if not</t>
  </si>
  <si>
    <t xml:space="preserve">SDB/HUBZone/8(a) Eligible? (Y/N)</t>
  </si>
  <si>
    <t xml:space="preserve">Set-aside win rates 28% vs 8% open competition</t>
  </si>
  <si>
    <t xml:space="preserve">Min Profitable Order Size ($)</t>
  </si>
  <si>
    <t xml:space="preserve">Must be below $5,200 avg micro-purchase threshold</t>
  </si>
  <si>
    <t xml:space="preserve">Any Prior Gov Contract Experience?</t>
  </si>
  <si>
    <t xml:space="preserve">Past performance is the #1 evaluation factor</t>
  </si>
  <si>
    <t xml:space="preserve">WIN RATE ASSUMPTIONS</t>
  </si>
  <si>
    <t xml:space="preserve">Tier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</si>
  <si>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</si>
  <si>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</si>
  <si>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</si>
  <si>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</si>
  <si>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</si>
  <si>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Notes</t>
  </si>
  <si>
    <t xml:space="preserve">Micro (&lt;$15K)</t>
  </si>
  <si>
    <t xml:space="preserve">GPC credit card — low barrier, high volume</t>
  </si>
  <si>
    <t xml:space="preserve">Simplified ($15K-$250K)</t>
  </si>
  <si>
    <t xml:space="preserve">Starts Q3 Y1 with past perf refs</t>
  </si>
  <si>
    <t xml:space="preserve">Set-Aside (SDB/HUBZone)</t>
  </si>
  <si>
    <t xml:space="preserve">IF certified. Day 1 eligible</t>
  </si>
  <si>
    <t xml:space="preserve">SLED (State/Local/Ed)</t>
  </si>
  <si>
    <t xml:space="preserve">Relationship-driven, FL focus</t>
  </si>
  <si>
    <t xml:space="preserve">Sealed Bid ($250K+)</t>
  </si>
  <si>
    <t xml:space="preserve">Requires established track record</t>
  </si>
  <si>
    <t xml:space="preserve">Recompete/Renewal Rate</t>
  </si>
  <si>
    <t xml:space="preserve">70% of contracts renew to incumbent</t>
  </si>
  <si>
    <t xml:space="preserve">COST &amp; MARGIN ASSUMPTIONS</t>
  </si>
  <si>
    <t xml:space="preserve">Metric</t>
  </si>
  <si>
    <t xml:space="preserve">Value</t>
  </si>
  <si>
    <t xml:space="preserve">Blended Gross Margin</t>
  </si>
  <si>
    <t xml:space="preserve">22% weighted avg across tiers</t>
  </si>
  <si>
    <t xml:space="preserve">Bid Prep Cost (Simplified+ per bid)</t>
  </si>
  <si>
    <t xml:space="preserve">Staff time + materials per RFQ/RFP</t>
  </si>
  <si>
    <t xml:space="preserve">Fulfillment Overhead (% of rev)</t>
  </si>
  <si>
    <t xml:space="preserve">Compliance, logistics, admin</t>
  </si>
  <si>
    <t xml:space="preserve">RENEWAL AVG CONTRACT VALUE (grows as portfolio shifts to larger deals)</t>
  </si>
  <si>
    <t xml:space="preserve">Logic</t>
  </si>
  <si>
    <t xml:space="preserve">Avg Renewal Contract Value</t>
  </si>
  <si>
    <t xml:space="preserve">Early = micro renewals. Later = simplified+ renewals</t>
  </si>
  <si>
    <t xml:space="preserve">ANNUAL PROGRAM INVESTMENT (tools &amp; hard costs only — no consulting fee)</t>
  </si>
  <si>
    <t xml:space="preserve">Total</t>
  </si>
  <si>
    <t xml:space="preserve">Includes</t>
  </si>
  <si>
    <t xml:space="preserve">Program Investment</t>
  </si>
  <si>
    <t xml:space="preserve">Assoc dues, conferences, travel, software, insurance adj, legal review</t>
  </si>
  <si>
    <t xml:space="preserve">TWO ROUTES TO MARKET</t>
  </si>
  <si>
    <t xml:space="preserve">Free gets you registered. Paid gets you competitive.</t>
  </si>
  <si>
    <t xml:space="preserve">COST COMPARISON (Newport's cost only — no consulting fee)</t>
  </si>
  <si>
    <t xml:space="preserve">FREE ROUTE</t>
  </si>
  <si>
    <t xml:space="preserve">PAID ROUTE</t>
  </si>
  <si>
    <t xml:space="preserve">WHY</t>
  </si>
  <si>
    <t xml:space="preserve">SAM.gov Registration</t>
  </si>
  <si>
    <t xml:space="preserve">$0</t>
  </si>
  <si>
    <t xml:space="preserve">Required — both routes</t>
  </si>
  <si>
    <t xml:space="preserve">FL MyFloridaMarketplace</t>
  </si>
  <si>
    <t xml:space="preserve">Required for SLED</t>
  </si>
  <si>
    <t xml:space="preserve">Capability Statement</t>
  </si>
  <si>
    <t xml:space="preserve">DIY ($0)</t>
  </si>
  <si>
    <t xml:space="preserve">$500-$2,000</t>
  </si>
  <si>
    <t xml:space="preserve">Professional version wins more</t>
  </si>
  <si>
    <t xml:space="preserve">Food Safety Certification</t>
  </si>
  <si>
    <t xml:space="preserve">Existing ($0)</t>
  </si>
  <si>
    <t xml:space="preserve">$0-$23,500</t>
  </si>
  <si>
    <t xml:space="preserve">$0 if already certified</t>
  </si>
  <si>
    <t xml:space="preserve">Attorney Review (2-3 contracts)</t>
  </si>
  <si>
    <t xml:space="preserve">Skip</t>
  </si>
  <si>
    <t xml:space="preserve">$2,500-$5,000</t>
  </si>
  <si>
    <t xml:space="preserve">Gov contracts differ from commercial</t>
  </si>
  <si>
    <t xml:space="preserve">Insurance Adjustment</t>
  </si>
  <si>
    <t xml:space="preserve">Current ($0)</t>
  </si>
  <si>
    <t xml:space="preserve">$1,500-$3,000</t>
  </si>
  <si>
    <t xml:space="preserve">Some contracts need higher limits</t>
  </si>
  <si>
    <t xml:space="preserve">Industry Associations (NRA/IFDA)</t>
  </si>
  <si>
    <t xml:space="preserve">$1,000-$2,500</t>
  </si>
  <si>
    <t xml:space="preserve">Bid alerts + networking access</t>
  </si>
  <si>
    <t xml:space="preserve">Trade Shows (2 events)</t>
  </si>
  <si>
    <t xml:space="preserve">$3,000-$6,000</t>
  </si>
  <si>
    <t xml:space="preserve">Face time with contracting officers</t>
  </si>
  <si>
    <t xml:space="preserve">Relationship Building</t>
  </si>
  <si>
    <t xml:space="preserve">Cold calls ($0)</t>
  </si>
  <si>
    <t xml:space="preserve">$2,000-$5,000</t>
  </si>
  <si>
    <t xml:space="preserve">CO meetings, base/facility visits</t>
  </si>
  <si>
    <t xml:space="preserve">Bid Tracking Software</t>
  </si>
  <si>
    <t xml:space="preserve">Manual / free</t>
  </si>
  <si>
    <t xml:space="preserve">$500-$1,500</t>
  </si>
  <si>
    <t xml:space="preserve">GovWin IQ or similar</t>
  </si>
  <si>
    <t xml:space="preserve">TOTAL YEAR 1</t>
  </si>
  <si>
    <t xml:space="preserve">$0 - $2,000</t>
  </si>
  <si>
    <t xml:space="preserve">$11,000 - $47,000</t>
  </si>
  <si>
    <t xml:space="preserve">No consulting fee — tools/hard costs only</t>
  </si>
  <si>
    <t xml:space="preserve">EXPECTED OUTCOMES</t>
  </si>
  <si>
    <t xml:space="preserve">Free</t>
  </si>
  <si>
    <t xml:space="preserve">Paid</t>
  </si>
  <si>
    <t xml:space="preserve">Delta</t>
  </si>
  <si>
    <t xml:space="preserve">Yr 1 Win Rate (Micro)</t>
  </si>
  <si>
    <t xml:space="preserve">8-10%</t>
  </si>
  <si>
    <t xml:space="preserve">12-18%</t>
  </si>
  <si>
    <t xml:space="preserve">+50-80%</t>
  </si>
  <si>
    <t xml:space="preserve">Yr 1 Contracts Won</t>
  </si>
  <si>
    <t xml:space="preserve">4-6</t>
  </si>
  <si>
    <t xml:space="preserve">10-15</t>
  </si>
  <si>
    <t xml:space="preserve">2-3x more</t>
  </si>
  <si>
    <t xml:space="preserve">Yr 1 Revenue</t>
  </si>
  <si>
    <t xml:space="preserve">$25K-$45K</t>
  </si>
  <si>
    <t xml:space="preserve">$80K-$150K</t>
  </si>
  <si>
    <t xml:space="preserve">3-5x</t>
  </si>
  <si>
    <t xml:space="preserve">Time to Simplified Eligibility</t>
  </si>
  <si>
    <t xml:space="preserve">18-24 months</t>
  </si>
  <si>
    <t xml:space="preserve">6-9 months</t>
  </si>
  <si>
    <t xml:space="preserve">1+ year faster</t>
  </si>
  <si>
    <t xml:space="preserve">5-Yr Cumulative Revenue</t>
  </si>
  <si>
    <t xml:space="preserve">$400K-$800K</t>
  </si>
  <si>
    <t xml:space="preserve">$3M-$6M+</t>
  </si>
  <si>
    <t xml:space="preserve">8-10x</t>
  </si>
  <si>
    <t xml:space="preserve">5-Yr Cumulative Owner Earnings</t>
  </si>
  <si>
    <t xml:space="preserve">$50K-$120K</t>
  </si>
  <si>
    <t xml:space="preserve">$500K-$900K+</t>
  </si>
  <si>
    <t xml:space="preserve">10x+</t>
  </si>
  <si>
    <t xml:space="preserve">RECOMMENDATION: Paid route. Year 1 is a small net investment that pays for itself by mid-Year 2. The compounding renewal base means every Year 1 dollar multiplies through Years 2-5.</t>
  </si>
  <si>
    <t xml:space="preserve">5-YEAR OWNER EARNINGS MODEL</t>
  </si>
  <si>
    <t xml:space="preserve">Cash that hits Newport's bank account. No EBITDA. No adjustments.</t>
  </si>
  <si>
    <t xml:space="preserve">NEW BIDS SUBMITTED</t>
  </si>
  <si>
    <t xml:space="preserve">Strategy: Micro = credibility currency (not revenue). Win enough to unlock past performance, then shift to larger deals. Set-asides and SLED start Day 1.</t>
  </si>
  <si>
    <t xml:space="preserve">Strategy</t>
  </si>
  <si>
    <t xml:space="preserve">Micro (&lt;$15K) CREDIBILITY PHASE</t>
  </si>
  <si>
    <t xml:space="preserve">Win enough to unlock, then stop actively bidding</t>
  </si>
  <si>
    <t xml:space="preserve">Starts Q3 Y1 w/ past perf. Primary engine Y2+</t>
  </si>
  <si>
    <t xml:space="preserve">Day 1 if certified. Premium margins</t>
  </si>
  <si>
    <t xml:space="preserve">FL schools/counties — parallel from Day 1</t>
  </si>
  <si>
    <t xml:space="preserve">Y2+ only with track record</t>
  </si>
  <si>
    <t xml:space="preserve">TOTAL BIDS</t>
  </si>
  <si>
    <t xml:space="preserve">NEW CONTRACT WINS (Bids x Win Rate)</t>
  </si>
  <si>
    <t xml:space="preserve">TOTAL NEW WINS</t>
  </si>
  <si>
    <t xml:space="preserve">ACTIVE CONTRACT BASE (Renewals + New = Compound Growth)</t>
  </si>
  <si>
    <t xml:space="preserve">This is the flywheel: 70% of contracts renew each year. New wins stack on top. The base grows every year.</t>
  </si>
  <si>
    <t xml:space="preserve">Renewed from Prior Year (70%)</t>
  </si>
  <si>
    <t xml:space="preserve">+ New Wins This Year</t>
  </si>
  <si>
    <t xml:space="preserve">TOTAL ACTIVE CONTRACTS</t>
  </si>
  <si>
    <t xml:space="preserve">REVENUE (New Wins + Renewal Base)</t>
  </si>
  <si>
    <t xml:space="preserve">Source</t>
  </si>
  <si>
    <t xml:space="preserve">5-Yr Total</t>
  </si>
  <si>
    <t xml:space="preserve">Avg Contract</t>
  </si>
  <si>
    <t xml:space="preserve">Micro Wins (new)</t>
  </si>
  <si>
    <t xml:space="preserve">Simplified Wins (new)</t>
  </si>
  <si>
    <t xml:space="preserve">Set-Aside Wins (new)</t>
  </si>
  <si>
    <t xml:space="preserve">SLED Wins (new)</t>
  </si>
  <si>
    <t xml:space="preserve">Sealed Bid Wins (new)</t>
  </si>
  <si>
    <t xml:space="preserve">Renewal Revenue (recurring base)</t>
  </si>
  <si>
    <t xml:space="preserve">Avg grows as portfolio shifts up</t>
  </si>
  <si>
    <t xml:space="preserve">TOTAL REVENUE</t>
  </si>
  <si>
    <t xml:space="preserve">OWNER EARNINGS</t>
  </si>
  <si>
    <t xml:space="preserve">"Owner earnings = net income + depreciation - maintenance capex. The only number that matters." - Buffett</t>
  </si>
  <si>
    <t xml:space="preserve">Revenue</t>
  </si>
  <si>
    <t xml:space="preserve">(-) COGS</t>
  </si>
  <si>
    <t xml:space="preserve">Gross Profit (22%)</t>
  </si>
  <si>
    <t xml:space="preserve">(-) Bid Prep (Simplified+ x $750)</t>
  </si>
  <si>
    <t xml:space="preserve">(-) Fulfillment/Compliance (3%)</t>
  </si>
  <si>
    <t xml:space="preserve">(-) Program Costs (tools only)</t>
  </si>
  <si>
    <t xml:space="preserve">Cumulative Owner Earnings</t>
  </si>
  <si>
    <t xml:space="preserve">OE Margin</t>
  </si>
  <si>
    <t xml:space="preserve">CHART: REVENUE STEP-UP (stacked shows compound growth from renewals)</t>
  </si>
  <si>
    <t xml:space="preserve">CHART: OWNER EARNINGS — ANNUAL + CUMULATIVE STEP-UP</t>
  </si>
  <si>
    <t xml:space="preserve">CHART: ACTIVE CONTRACTS — THE COMPOUNDING FLYWHEEL</t>
  </si>
  <si>
    <t xml:space="preserve">CHART: PORTFOLIO SHIFT — MICRO PHASES OUT AS LARGER DEALS TAKE OVER</t>
  </si>
  <si>
    <t xml:space="preserve">Yr 1 %</t>
  </si>
  <si>
    <t xml:space="preserve">Yr 5 %</t>
  </si>
  <si>
    <t xml:space="preserve">Micro</t>
  </si>
  <si>
    <t xml:space="preserve">Simplified</t>
  </si>
  <si>
    <t xml:space="preserve">Set-Aside</t>
  </si>
  <si>
    <t xml:space="preserve">SLED</t>
  </si>
  <si>
    <t xml:space="preserve">Sealed Bid</t>
  </si>
  <si>
    <t xml:space="preserve">Renewals</t>
  </si>
  <si>
    <t xml:space="preserve">MARKET ANALYSIS</t>
  </si>
  <si>
    <t xml:space="preserve">Real data from USASpending.gov  |  Florida + Southeast  |  Feb 2026</t>
  </si>
  <si>
    <t xml:space="preserve">ADDRESSABLE MARKET WATERFALL</t>
  </si>
  <si>
    <t xml:space="preserve">Level</t>
  </si>
  <si>
    <t xml:space="preserve">Scope</t>
  </si>
  <si>
    <t xml:space="preserve">Annual $</t>
  </si>
  <si>
    <t xml:space="preserve"># Awards</t>
  </si>
  <si>
    <t xml:space="preserve">Avg Size</t>
  </si>
  <si>
    <t xml:space="preserve">Newport Fit</t>
  </si>
  <si>
    <t xml:space="preserve">Federal Food (National)</t>
  </si>
  <si>
    <t xml:space="preserve">All NAICS 311/424</t>
  </si>
  <si>
    <t xml:space="preserve">$7.2B</t>
  </si>
  <si>
    <t xml:space="preserve">~500K</t>
  </si>
  <si>
    <t xml:space="preserve">$14.4K</t>
  </si>
  <si>
    <t xml:space="preserve">NOT REALISTIC</t>
  </si>
  <si>
    <t xml:space="preserve">Top-down vanity number</t>
  </si>
  <si>
    <t xml:space="preserve">Federal (&lt;$350K)</t>
  </si>
  <si>
    <t xml:space="preserve">Realistic bid range</t>
  </si>
  <si>
    <t xml:space="preserve">$2.1B</t>
  </si>
  <si>
    <t xml:space="preserve">~300K</t>
  </si>
  <si>
    <t xml:space="preserve">$7K</t>
  </si>
  <si>
    <t xml:space="preserve">Too broad</t>
  </si>
  <si>
    <t xml:space="preserve">Still national</t>
  </si>
  <si>
    <t xml:space="preserve">Florida Federal (&lt;$350K)</t>
  </si>
  <si>
    <t xml:space="preserve">Home state</t>
  </si>
  <si>
    <t xml:space="preserve">$85M</t>
  </si>
  <si>
    <t xml:space="preserve">39,685</t>
  </si>
  <si>
    <t xml:space="preserve">$2.1K</t>
  </si>
  <si>
    <t xml:space="preserve">ADDRESSABLE</t>
  </si>
  <si>
    <t xml:space="preserve">THIS is the real TAM</t>
  </si>
  <si>
    <t xml:space="preserve">Southeast (&lt;$350K)</t>
  </si>
  <si>
    <t xml:space="preserve">FL+GA+SC+AL+MS</t>
  </si>
  <si>
    <t xml:space="preserve">$179M</t>
  </si>
  <si>
    <t xml:space="preserve">~80K</t>
  </si>
  <si>
    <t xml:space="preserve">$2.2K</t>
  </si>
  <si>
    <t xml:space="preserve">IF multi-state</t>
  </si>
  <si>
    <t xml:space="preserve">Requires expanded delivery</t>
  </si>
  <si>
    <t xml:space="preserve">FL + SLED Combined</t>
  </si>
  <si>
    <t xml:space="preserve">Fed + State/Local</t>
  </si>
  <si>
    <t xml:space="preserve">$135M</t>
  </si>
  <si>
    <t xml:space="preserve">~55K</t>
  </si>
  <si>
    <t xml:space="preserve">$2.5K</t>
  </si>
  <si>
    <t xml:space="preserve">TOTAL OPP</t>
  </si>
  <si>
    <t xml:space="preserve">Both tracks in parallel</t>
  </si>
  <si>
    <t xml:space="preserve">Market ($M)</t>
  </si>
  <si>
    <t xml:space="preserve">National (&lt;$350K)</t>
  </si>
  <si>
    <t xml:space="preserve">Florida</t>
  </si>
  <si>
    <t xml:space="preserve">Southeast</t>
  </si>
  <si>
    <t xml:space="preserve">FL+SLED</t>
  </si>
  <si>
    <t xml:space="preserve">Confectionery Gap</t>
  </si>
  <si>
    <t xml:space="preserve">REAL CONTRACT EXAMPLES — WHAT NEWPORT WOULD BID ON</t>
  </si>
  <si>
    <t xml:space="preserve">Type</t>
  </si>
  <si>
    <t xml:space="preserve">Agency</t>
  </si>
  <si>
    <t xml:space="preserve">Location</t>
  </si>
  <si>
    <t xml:space="preserve">Product</t>
  </si>
  <si>
    <t xml:space="preserve">Frequency</t>
  </si>
  <si>
    <t xml:space="preserve">USDA Forest Service</t>
  </si>
  <si>
    <t xml:space="preserve">$3,800</t>
  </si>
  <si>
    <t xml:space="preserve">Ocala NF, FL</t>
  </si>
  <si>
    <t xml:space="preserve">Snacks/beverages</t>
  </si>
  <si>
    <t xml:space="preserve">Monthly PO</t>
  </si>
  <si>
    <t xml:space="preserve">VA Medical Center</t>
  </si>
  <si>
    <t xml:space="preserve">$4,200</t>
  </si>
  <si>
    <t xml:space="preserve">Bay Pines, FL</t>
  </si>
  <si>
    <t xml:space="preserve">Canteen supplies</t>
  </si>
  <si>
    <t xml:space="preserve">Bi-weekly</t>
  </si>
  <si>
    <t xml:space="preserve">DeCA Commissary</t>
  </si>
  <si>
    <t xml:space="preserve">$7,500</t>
  </si>
  <si>
    <t xml:space="preserve">MacDill AFB</t>
  </si>
  <si>
    <t xml:space="preserve">Confectionery</t>
  </si>
  <si>
    <t xml:space="preserve">Weekly delivery</t>
  </si>
  <si>
    <t xml:space="preserve">DOD MWR</t>
  </si>
  <si>
    <t xml:space="preserve">$6,800</t>
  </si>
  <si>
    <t xml:space="preserve">NAS Pensacola</t>
  </si>
  <si>
    <t xml:space="preserve">Snack bar stock</t>
  </si>
  <si>
    <t xml:space="preserve">Monthly</t>
  </si>
  <si>
    <t xml:space="preserve">SBA 8(a) allocation</t>
  </si>
  <si>
    <t xml:space="preserve">$35,000</t>
  </si>
  <si>
    <t xml:space="preserve">SE Region</t>
  </si>
  <si>
    <t xml:space="preserve">Shelf-stable foods</t>
  </si>
  <si>
    <t xml:space="preserve">Quarterly</t>
  </si>
  <si>
    <t xml:space="preserve">DLA (HUBZone)</t>
  </si>
  <si>
    <t xml:space="preserve">$65,000</t>
  </si>
  <si>
    <t xml:space="preserve">Confectionery/snacks</t>
  </si>
  <si>
    <t xml:space="preserve">Semi-annual</t>
  </si>
  <si>
    <t xml:space="preserve">Bureau of Prisons</t>
  </si>
  <si>
    <t xml:space="preserve">$45,000</t>
  </si>
  <si>
    <t xml:space="preserve">FCI Coleman, FL</t>
  </si>
  <si>
    <t xml:space="preserve">Commissary stock</t>
  </si>
  <si>
    <t xml:space="preserve">$28,000</t>
  </si>
  <si>
    <t xml:space="preserve">NAS Jacksonville</t>
  </si>
  <si>
    <t xml:space="preserve">Snack bar supply</t>
  </si>
  <si>
    <t xml:space="preserve">Broward County Schools</t>
  </si>
  <si>
    <t xml:space="preserve">$32,000</t>
  </si>
  <si>
    <t xml:space="preserve">South FL</t>
  </si>
  <si>
    <t xml:space="preserve">Snack vending</t>
  </si>
  <si>
    <t xml:space="preserve">Annual</t>
  </si>
  <si>
    <t xml:space="preserve">FL Dept of Corrections</t>
  </si>
  <si>
    <t xml:space="preserve">$55,000</t>
  </si>
  <si>
    <t xml:space="preserve">Statewide</t>
  </si>
  <si>
    <t xml:space="preserve">Commissary goods</t>
  </si>
  <si>
    <t xml:space="preserve">DLA Troop Support</t>
  </si>
  <si>
    <t xml:space="preserve">$220,000</t>
  </si>
  <si>
    <t xml:space="preserve">Multi-base SE</t>
  </si>
  <si>
    <t xml:space="preserve">Full-line supply</t>
  </si>
  <si>
    <t xml:space="preserve">Annual+options</t>
  </si>
  <si>
    <t xml:space="preserve">CATEGORY ADVANTAGE</t>
  </si>
  <si>
    <t xml:space="preserve">PSC Category</t>
  </si>
  <si>
    <t xml:space="preserve">National TAM</t>
  </si>
  <si>
    <t xml:space="preserve">FL Competition</t>
  </si>
  <si>
    <t xml:space="preserve">Gap</t>
  </si>
  <si>
    <t xml:space="preserve">Priority</t>
  </si>
  <si>
    <t xml:space="preserve">8925 Confectionery/Nuts</t>
  </si>
  <si>
    <t xml:space="preserve">WIDE OPEN</t>
  </si>
  <si>
    <t xml:space="preserve">8940 Snack Foods</t>
  </si>
  <si>
    <t xml:space="preserve">Strong</t>
  </si>
  <si>
    <t xml:space="preserve">8950 Bakery/Cereal</t>
  </si>
  <si>
    <t xml:space="preserve">Good</t>
  </si>
  <si>
    <t xml:space="preserve">8945 Beverages (non-alc)</t>
  </si>
  <si>
    <t xml:space="preserve">Moderate</t>
  </si>
  <si>
    <t xml:space="preserve">COMPETITIVE LANDSCAPE</t>
  </si>
  <si>
    <t xml:space="preserve">Competitor</t>
  </si>
  <si>
    <t xml:space="preserve">Gov Rev</t>
  </si>
  <si>
    <t xml:space="preserve">Categories</t>
  </si>
  <si>
    <t xml:space="preserve">Strength</t>
  </si>
  <si>
    <t xml:space="preserve">Weakness</t>
  </si>
  <si>
    <t xml:space="preserve">Threat</t>
  </si>
  <si>
    <t xml:space="preserve">Oakes Farms</t>
  </si>
  <si>
    <t xml:space="preserve">$26M</t>
  </si>
  <si>
    <t xml:space="preserve">Produce/meats</t>
  </si>
  <si>
    <t xml:space="preserve">Established</t>
  </si>
  <si>
    <t xml:space="preserve">No confectionery</t>
  </si>
  <si>
    <t xml:space="preserve">LOW</t>
  </si>
  <si>
    <t xml:space="preserve">US Foods</t>
  </si>
  <si>
    <t xml:space="preserve">$24M</t>
  </si>
  <si>
    <t xml:space="preserve">Full-line</t>
  </si>
  <si>
    <t xml:space="preserve">Scale</t>
  </si>
  <si>
    <t xml:space="preserve">Ignores micro</t>
  </si>
  <si>
    <t xml:space="preserve">Rainmaker Inc.</t>
  </si>
  <si>
    <t xml:space="preserve">$5M</t>
  </si>
  <si>
    <t xml:space="preserve">DOJ/BOP</t>
  </si>
  <si>
    <t xml:space="preserve">Incumbent</t>
  </si>
  <si>
    <t xml:space="preserve">Narrow catalog</t>
  </si>
  <si>
    <t xml:space="preserve">TARGET</t>
  </si>
  <si>
    <t xml:space="preserve">Sysco Gov</t>
  </si>
  <si>
    <t xml:space="preserve">$18M</t>
  </si>
  <si>
    <t xml:space="preserve">Institutional</t>
  </si>
  <si>
    <t xml:space="preserve">National</t>
  </si>
  <si>
    <t xml:space="preserve">Not micro-focused</t>
  </si>
  <si>
    <t xml:space="preserve">Local Distributors</t>
  </si>
  <si>
    <t xml:space="preserve">$8M</t>
  </si>
  <si>
    <t xml:space="preserve">Mixed</t>
  </si>
  <si>
    <t xml:space="preserve">Relationships</t>
  </si>
  <si>
    <t xml:space="preserve">No scale</t>
  </si>
  <si>
    <t xml:space="preserve">MEDIUM</t>
  </si>
  <si>
    <t xml:space="preserve">Sources: USASpending.gov API, FPDS-NG, SAM.gov, FL MyFloridaMarketplace. Contract examples are representative composites based on actual award data. Feb 2026.</t>
  </si>
  <si>
    <t xml:space="preserve">QUESTIONS THAT CHANGE EVERY NUMBER</t>
  </si>
  <si>
    <t xml:space="preserve">Answer these, and we recalibrate the entire model.</t>
  </si>
  <si>
    <t xml:space="preserve">CRITICAL DECISIONS</t>
  </si>
  <si>
    <t xml:space="preserve">Question</t>
  </si>
  <si>
    <t xml:space="preserve">If Yes</t>
  </si>
  <si>
    <t xml:space="preserve">If No</t>
  </si>
  <si>
    <t xml:space="preserve">1 HIGHEST</t>
  </si>
  <si>
    <t xml:space="preserve">Can Newport profitably fulfill orders under $5,200?</t>
  </si>
  <si>
    <t xml:space="preserve">Micro channel opens (83% of awards). Credibility ramp starts.</t>
  </si>
  <si>
    <t xml:space="preserve">Must skip to Simplified — harder, slower entry path</t>
  </si>
  <si>
    <t xml:space="preserve">2 HIGHEST</t>
  </si>
  <si>
    <t xml:space="preserve">Eligible for SDB/HUBZone/8(a) set-aside?</t>
  </si>
  <si>
    <t xml:space="preserve">Win rates 28%+, margins 25%. Available from Day 1.</t>
  </si>
  <si>
    <t xml:space="preserve">Open competition only — lower win rates, slower ramp</t>
  </si>
  <si>
    <t xml:space="preserve">3 HIGH</t>
  </si>
  <si>
    <t xml:space="preserve">Delivery radius from FL warehouses?</t>
  </si>
  <si>
    <t xml:space="preserve">FL only = $85M. SE region = $179M. Determines total addressable.</t>
  </si>
  <si>
    <t xml:space="preserve">We right-size model to actual reach</t>
  </si>
  <si>
    <t xml:space="preserve">4 HIGH</t>
  </si>
  <si>
    <t xml:space="preserve">Existing food safety certs (SQF/GFSI)?</t>
  </si>
  <si>
    <t xml:space="preserve">Year 1 investment drops by $23,500</t>
  </si>
  <si>
    <t xml:space="preserve">Biggest single cost variable</t>
  </si>
  <si>
    <t xml:space="preserve">5 HIGH</t>
  </si>
  <si>
    <t xml:space="preserve">Willing to invest $11K-$47K (Paid Route)?</t>
  </si>
  <si>
    <t xml:space="preserve">Full competitive capability from Day 1. ROI positive by mid-Y2.</t>
  </si>
  <si>
    <t xml:space="preserve">Free route works but 12-18 months slower to traction</t>
  </si>
  <si>
    <t xml:space="preserve">6 MEDIUM</t>
  </si>
  <si>
    <t xml:space="preserve">How many confectionery/snack/nut SKUs?</t>
  </si>
  <si>
    <t xml:space="preserve">Broader catalog = eligible for more bids across categories</t>
  </si>
  <si>
    <t xml:space="preserve">We focus on strongest categories only</t>
  </si>
  <si>
    <t xml:space="preserve">7 MEDIUM</t>
  </si>
  <si>
    <t xml:space="preserve">Can add delivery routes to bases/prisons?</t>
  </si>
  <si>
    <t xml:space="preserve">DOJ/BOP channel opens ($5M+ FL). Rainmaker Inc. is beatable.</t>
  </si>
  <si>
    <t xml:space="preserve">Skip DOJ, focus DeCA commissaries instead</t>
  </si>
  <si>
    <t xml:space="preserve">8 MEDIUM</t>
  </si>
  <si>
    <t xml:space="preserve">Current commercial gross margin?</t>
  </si>
  <si>
    <t xml:space="preserve">Calibrates if gov margins (18-25%) are accretive or dilutive</t>
  </si>
  <si>
    <t xml:space="preserve">May not be worth pursuing if commercial margins much higher</t>
  </si>
  <si>
    <t xml:space="preserve">9 INFO</t>
  </si>
  <si>
    <t xml:space="preserve">Any prior gov contract experience?</t>
  </si>
  <si>
    <t xml:space="preserve">Past performance references accelerate everything</t>
  </si>
  <si>
    <t xml:space="preserve">Start from zero — typical for new entrants</t>
  </si>
  <si>
    <t xml:space="preserve">10 INFO</t>
  </si>
  <si>
    <t xml:space="preserve">Goal: supplemental revenue or primary channel?</t>
  </si>
  <si>
    <t xml:space="preserve">Aggressive staffing and investment trajectory</t>
  </si>
  <si>
    <t xml:space="preserve">Conservative side channel approach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</si>
</sst>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;&quot;($&quot;#,##0\);\-"/>
    <numFmt numFmtId="167" formatCode="#,##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48235"/>
      <name val="Arial"/>
      <family val="0"/>
      <charset val="1"/>
    </font>
    <font>
      <sz val="10"/>
      <color rgb="FF2E5090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color rgb="FF2E5090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10"/>
      <color rgb="FFED7D31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5B9BD5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548235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ED7D31"/>
      <name val="Arial"/>
      <family val="0"/>
      <charset val="1"/>
    </font>
    <font>
      <b val="true"/>
      <sz val="9"/>
      <color rgb="FF4472C4"/>
      <name val="Arial"/>
      <family val="0"/>
      <charset val="1"/>
    </font>
    <font>
      <b val="true"/>
      <sz val="9"/>
      <color rgb="FF40404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090"/>
        <bgColor rgb="FF404040"/>
      </patternFill>
    </fill>
    <fill>
      <patternFill patternType="solid">
        <fgColor rgb="FF1B2A4A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4472C4"/>
        <bgColor rgb="FF4F81BD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>
        <color rgb="FFD4A017"/>
      </bottom>
      <diagonal/>
    </border>
    <border diagonalUp="false" diagonalDown="false">
      <left/>
      <right/>
      <top/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D4A017"/>
      <rgbColor rgb="FFED7D31"/>
      <rgbColor rgb="FF4F81BD"/>
      <rgbColor rgb="FF878787"/>
      <rgbColor rgb="FF1B2A4A"/>
      <rgbColor rgb="FF339966"/>
      <rgbColor rgb="FF003300"/>
      <rgbColor rgb="FF333300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Source — Renewals Compound Each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Model'!$C$33:$G$33</c:f>
              <c:numCache>
                <c:formatCode>\$#,##0;"($"#,##0\);\-</c:formatCode>
                <c:ptCount val="5"/>
                <c:pt idx="0">
                  <c:v>41600</c:v>
                </c:pt>
                <c:pt idx="1">
                  <c:v>26000</c:v>
                </c:pt>
                <c:pt idx="2">
                  <c:v>10400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Model'!$C$34:$G$34</c:f>
              <c:numCache>
                <c:formatCode>\$#,##0;"($"#,##0\);\-</c:formatCode>
                <c:ptCount val="5"/>
                <c:pt idx="0">
                  <c:v>0</c:v>
                </c:pt>
                <c:pt idx="1">
                  <c:v>135000</c:v>
                </c:pt>
                <c:pt idx="2">
                  <c:v>270000</c:v>
                </c:pt>
                <c:pt idx="3">
                  <c:v>405000</c:v>
                </c:pt>
                <c:pt idx="4">
                  <c:v>540000</c:v>
                </c:pt>
              </c:numCache>
            </c:numRef>
          </c:val>
        </c:ser>
        <c:ser>
          <c:idx val="2"/>
          <c:order val="2"/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Model'!$C$35:$G$35</c:f>
              <c:numCache>
                <c:formatCode>\$#,##0;"($"#,##0\);\-</c:formatCode>
                <c:ptCount val="5"/>
                <c:pt idx="0">
                  <c:v>40000</c:v>
                </c:pt>
                <c:pt idx="1">
                  <c:v>120000</c:v>
                </c:pt>
                <c:pt idx="2">
                  <c:v>240000</c:v>
                </c:pt>
                <c:pt idx="3">
                  <c:v>360000</c:v>
                </c:pt>
                <c:pt idx="4">
                  <c:v>440000</c:v>
                </c:pt>
              </c:numCache>
            </c:numRef>
          </c:val>
        </c:ser>
        <c:ser>
          <c:idx val="3"/>
          <c:order val="3"/>
          <c:spPr>
            <a:solidFill>
              <a:srgbClr val="5b9b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Model'!$C$36:$G$36</c:f>
              <c:numCache>
                <c:formatCode>\$#,##0;"($"#,##0\);\-</c:formatCode>
                <c:ptCount val="5"/>
                <c:pt idx="0">
                  <c:v>18000</c:v>
                </c:pt>
                <c:pt idx="1">
                  <c:v>54000</c:v>
                </c:pt>
                <c:pt idx="2">
                  <c:v>90000</c:v>
                </c:pt>
                <c:pt idx="3">
                  <c:v>144000</c:v>
                </c:pt>
                <c:pt idx="4">
                  <c:v>162000</c:v>
                </c:pt>
              </c:numCache>
            </c:numRef>
          </c:val>
        </c:ser>
        <c:ser>
          <c:idx val="4"/>
          <c:order val="4"/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Model'!$C$37:$G$37</c:f>
              <c:numCache>
                <c:formatCode>\$#,##0;"($"#,##0\);\-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175000</c:v>
                </c:pt>
                <c:pt idx="4">
                  <c:v>350000</c:v>
                </c:pt>
              </c:numCache>
            </c:numRef>
          </c:val>
        </c:ser>
        <c:ser>
          <c:idx val="5"/>
          <c:order val="5"/>
          <c:spPr>
            <a:solidFill>
              <a:srgbClr val="d4a01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Model'!$C$38:$G$38</c:f>
              <c:numCache>
                <c:formatCode>\$#,##0;"($"#,##0\);\-</c:formatCode>
                <c:ptCount val="5"/>
                <c:pt idx="0">
                  <c:v>0</c:v>
                </c:pt>
                <c:pt idx="1">
                  <c:v>105000</c:v>
                </c:pt>
                <c:pt idx="2">
                  <c:v>375000</c:v>
                </c:pt>
                <c:pt idx="3">
                  <c:v>840000</c:v>
                </c:pt>
                <c:pt idx="4">
                  <c:v>1512000</c:v>
                </c:pt>
              </c:numCache>
            </c:numRef>
          </c:val>
        </c:ser>
        <c:gapWidth val="150"/>
        <c:overlap val="100"/>
        <c:axId val="58537259"/>
        <c:axId val="20263568"/>
      </c:barChart>
      <c:catAx>
        <c:axId val="58537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63568"/>
        <c:crosses val="autoZero"/>
        <c:auto val="1"/>
        <c:lblAlgn val="ctr"/>
        <c:lblOffset val="100"/>
        <c:noMultiLvlLbl val="0"/>
      </c:catAx>
      <c:valAx>
        <c:axId val="20263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37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Owner Earnings: Annual (blue) + Cumulative (gold)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Model'!$C$50:$G$50</c:f>
              <c:numCache>
                <c:formatCode>\$#,##0;"($"#,##0\);\-</c:formatCode>
                <c:ptCount val="5"/>
                <c:pt idx="0">
                  <c:v>-13826</c:v>
                </c:pt>
                <c:pt idx="1">
                  <c:v>27350</c:v>
                </c:pt>
                <c:pt idx="2">
                  <c:v>105726</c:v>
                </c:pt>
                <c:pt idx="3">
                  <c:v>264060</c:v>
                </c:pt>
                <c:pt idx="4">
                  <c:v>457260</c:v>
                </c:pt>
              </c:numCache>
            </c:numRef>
          </c:val>
        </c:ser>
        <c:ser>
          <c:idx val="1"/>
          <c:order val="1"/>
          <c:spPr>
            <a:solidFill>
              <a:srgbClr val="d4a01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Model'!$C$51:$G$51</c:f>
              <c:numCache>
                <c:formatCode>\$#,##0;"($"#,##0\);\-</c:formatCode>
                <c:ptCount val="5"/>
                <c:pt idx="0">
                  <c:v>-13826</c:v>
                </c:pt>
                <c:pt idx="1">
                  <c:v>13524</c:v>
                </c:pt>
                <c:pt idx="2">
                  <c:v>119250</c:v>
                </c:pt>
                <c:pt idx="3">
                  <c:v>383310</c:v>
                </c:pt>
                <c:pt idx="4">
                  <c:v>840570</c:v>
                </c:pt>
              </c:numCache>
            </c:numRef>
          </c:val>
        </c:ser>
        <c:gapWidth val="150"/>
        <c:overlap val="0"/>
        <c:axId val="47333815"/>
        <c:axId val="70944696"/>
      </c:barChart>
      <c:catAx>
        <c:axId val="47333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44696"/>
        <c:crosses val="autoZero"/>
        <c:auto val="1"/>
        <c:lblAlgn val="ctr"/>
        <c:lblOffset val="100"/>
        <c:noMultiLvlLbl val="0"/>
      </c:catAx>
      <c:valAx>
        <c:axId val="70944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Dollars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33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Renewals (gold) Stack on New Wins (blue) Every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d4a01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Model'!$C$27:$G$27</c:f>
              <c:numCache>
                <c:formatCode>#,##0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15</c:v>
                </c:pt>
                <c:pt idx="3">
                  <c:v>24</c:v>
                </c:pt>
                <c:pt idx="4">
                  <c:v>36</c:v>
                </c:pt>
              </c:numCache>
            </c:numRef>
          </c:val>
        </c:ser>
        <c:ser>
          <c:idx val="1"/>
          <c:order val="1"/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Model'!$C$32:$G$32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'5-Year Model'!$C$28:$G$28</c:f>
              <c:numCache>
                <c:formatCode>#,##0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19</c:v>
                </c:pt>
                <c:pt idx="3">
                  <c:v>27</c:v>
                </c:pt>
                <c:pt idx="4">
                  <c:v>34</c:v>
                </c:pt>
              </c:numCache>
            </c:numRef>
          </c:val>
        </c:ser>
        <c:gapWidth val="150"/>
        <c:overlap val="100"/>
        <c:axId val="90112954"/>
        <c:axId val="82238416"/>
      </c:barChart>
      <c:catAx>
        <c:axId val="90112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38416"/>
        <c:crosses val="autoZero"/>
        <c:auto val="1"/>
        <c:lblAlgn val="ctr"/>
        <c:lblOffset val="100"/>
        <c:noMultiLvlLbl val="0"/>
      </c:catAx>
      <c:valAx>
        <c:axId val="822384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Contracts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12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 1: Credibility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50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5b9bd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'5-Year Model'!$B$115:$B$120</c:f>
              <c:strCache>
                <c:ptCount val="6"/>
                <c:pt idx="0">
                  <c:v>Micro</c:v>
                </c:pt>
                <c:pt idx="1">
                  <c:v>Simplified</c:v>
                </c:pt>
                <c:pt idx="2">
                  <c:v>Set-Aside</c:v>
                </c:pt>
                <c:pt idx="3">
                  <c:v>SLED</c:v>
                </c:pt>
                <c:pt idx="4">
                  <c:v>Sealed Bid</c:v>
                </c:pt>
                <c:pt idx="5">
                  <c:v>Renewals</c:v>
                </c:pt>
              </c:strCache>
            </c:strRef>
          </c:cat>
          <c:val>
            <c:numRef>
              <c:f>'5-Year Model'!$C$115:$C$120</c:f>
              <c:numCache>
                <c:formatCode>0.0%</c:formatCode>
                <c:ptCount val="6"/>
                <c:pt idx="0">
                  <c:v>0.417670682730924</c:v>
                </c:pt>
                <c:pt idx="1">
                  <c:v>0</c:v>
                </c:pt>
                <c:pt idx="2">
                  <c:v>0.401606425702811</c:v>
                </c:pt>
                <c:pt idx="3">
                  <c:v>0.180722891566265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 5: Diversified, Micro Gone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50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5b9bd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'5-Year Model'!$B$115:$B$120</c:f>
              <c:strCache>
                <c:ptCount val="6"/>
                <c:pt idx="0">
                  <c:v>Micro</c:v>
                </c:pt>
                <c:pt idx="1">
                  <c:v>Simplified</c:v>
                </c:pt>
                <c:pt idx="2">
                  <c:v>Set-Aside</c:v>
                </c:pt>
                <c:pt idx="3">
                  <c:v>SLED</c:v>
                </c:pt>
                <c:pt idx="4">
                  <c:v>Sealed Bid</c:v>
                </c:pt>
                <c:pt idx="5">
                  <c:v>Renewals</c:v>
                </c:pt>
              </c:strCache>
            </c:strRef>
          </c:cat>
          <c:val>
            <c:numRef>
              <c:f>'5-Year Model'!$D$115:$D$120</c:f>
              <c:numCache>
                <c:formatCode>0.0%</c:formatCode>
                <c:ptCount val="6"/>
                <c:pt idx="0">
                  <c:v>0</c:v>
                </c:pt>
                <c:pt idx="1">
                  <c:v>0.179760319573901</c:v>
                </c:pt>
                <c:pt idx="2">
                  <c:v>0.14647137150466</c:v>
                </c:pt>
                <c:pt idx="3">
                  <c:v>0.0539280958721704</c:v>
                </c:pt>
                <c:pt idx="4">
                  <c:v>0.116511318242344</c:v>
                </c:pt>
                <c:pt idx="5">
                  <c:v>0.503328894806924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Waterfall ($M Annual)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Analysis'!C13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Analysis'!$B$14:$B$18</c:f>
              <c:strCache>
                <c:ptCount val="5"/>
                <c:pt idx="0">
                  <c:v>National (&lt;$350K)</c:v>
                </c:pt>
                <c:pt idx="1">
                  <c:v>Florida</c:v>
                </c:pt>
                <c:pt idx="2">
                  <c:v>Southeast</c:v>
                </c:pt>
                <c:pt idx="3">
                  <c:v>FL+SLED</c:v>
                </c:pt>
                <c:pt idx="4">
                  <c:v>Confectionery Gap</c:v>
                </c:pt>
              </c:strCache>
            </c:strRef>
          </c:cat>
          <c:val>
            <c:numRef>
              <c:f>'Market Analysis'!$C$14:$C$18</c:f>
              <c:numCache>
                <c:formatCode>General</c:formatCode>
                <c:ptCount val="5"/>
                <c:pt idx="0">
                  <c:v>2100</c:v>
                </c:pt>
                <c:pt idx="1">
                  <c:v>85</c:v>
                </c:pt>
                <c:pt idx="2">
                  <c:v>179</c:v>
                </c:pt>
                <c:pt idx="3">
                  <c:v>135</c:v>
                </c:pt>
                <c:pt idx="4">
                  <c:v>55</c:v>
                </c:pt>
              </c:numCache>
            </c:numRef>
          </c:val>
        </c:ser>
        <c:gapWidth val="150"/>
        <c:overlap val="0"/>
        <c:axId val="81632915"/>
        <c:axId val="41544621"/>
      </c:barChart>
      <c:catAx>
        <c:axId val="81632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44621"/>
        <c:crosses val="autoZero"/>
        <c:auto val="1"/>
        <c:lblAlgn val="ctr"/>
        <c:lblOffset val="100"/>
        <c:noMultiLvlLbl val="0"/>
      </c:catAx>
      <c:valAx>
        <c:axId val="41544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329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National TAM vs FL Competition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Analysis'!C49</c:f>
              <c:strCache>
                <c:ptCount val="1"/>
                <c:pt idx="0">
                  <c:v>National TAM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Analysis'!$B$50:$B$53</c:f>
              <c:strCache>
                <c:ptCount val="4"/>
                <c:pt idx="0">
                  <c:v>8925 Confectionery/Nuts</c:v>
                </c:pt>
                <c:pt idx="1">
                  <c:v>8940 Snack Foods</c:v>
                </c:pt>
                <c:pt idx="2">
                  <c:v>8950 Bakery/Cereal</c:v>
                </c:pt>
                <c:pt idx="3">
                  <c:v>8945 Beverages (non-alc)</c:v>
                </c:pt>
              </c:strCache>
            </c:strRef>
          </c:cat>
          <c:val>
            <c:numRef>
              <c:f>'Market Analysis'!$C$50:$C$53</c:f>
              <c:numCache>
                <c:formatCode>\$#,##0;"($"#,##0\);\-</c:formatCode>
                <c:ptCount val="4"/>
                <c:pt idx="0">
                  <c:v>55000000</c:v>
                </c:pt>
                <c:pt idx="1">
                  <c:v>38000000</c:v>
                </c:pt>
                <c:pt idx="2">
                  <c:v>31000000</c:v>
                </c:pt>
                <c:pt idx="3">
                  <c:v>22000000</c:v>
                </c:pt>
              </c:numCache>
            </c:numRef>
          </c:val>
        </c:ser>
        <c:ser>
          <c:idx val="1"/>
          <c:order val="1"/>
          <c:tx>
            <c:strRef>
              <c:f>'Market Analysis'!D49</c:f>
              <c:strCache>
                <c:ptCount val="1"/>
                <c:pt idx="0">
                  <c:v>FL Competition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Analysis'!$B$50:$B$53</c:f>
              <c:strCache>
                <c:ptCount val="4"/>
                <c:pt idx="0">
                  <c:v>8925 Confectionery/Nuts</c:v>
                </c:pt>
                <c:pt idx="1">
                  <c:v>8940 Snack Foods</c:v>
                </c:pt>
                <c:pt idx="2">
                  <c:v>8950 Bakery/Cereal</c:v>
                </c:pt>
                <c:pt idx="3">
                  <c:v>8945 Beverages (non-alc)</c:v>
                </c:pt>
              </c:strCache>
            </c:strRef>
          </c:cat>
          <c:val>
            <c:numRef>
              <c:f>'Market Analysis'!$D$50:$D$53</c:f>
              <c:numCache>
                <c:formatCode>\$#,##0;"($"#,##0\);\-</c:formatCode>
                <c:ptCount val="4"/>
                <c:pt idx="0">
                  <c:v>412000</c:v>
                </c:pt>
                <c:pt idx="1">
                  <c:v>2100000</c:v>
                </c:pt>
                <c:pt idx="2">
                  <c:v>950000</c:v>
                </c:pt>
                <c:pt idx="3">
                  <c:v>1800000</c:v>
                </c:pt>
              </c:numCache>
            </c:numRef>
          </c:val>
        </c:ser>
        <c:gapWidth val="150"/>
        <c:overlap val="0"/>
        <c:axId val="71781761"/>
        <c:axId val="25621788"/>
      </c:barChart>
      <c:catAx>
        <c:axId val="717817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21788"/>
        <c:crosses val="autoZero"/>
        <c:auto val="1"/>
        <c:lblAlgn val="ctr"/>
        <c:lblOffset val="100"/>
        <c:noMultiLvlLbl val="0"/>
      </c:catAx>
      <c:valAx>
        <c:axId val="25621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81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55</xdr:row>
      <xdr:rowOff>130680</xdr:rowOff>
    </xdr:from>
    <xdr:to>
      <xdr:col>8</xdr:col>
      <xdr:colOff>181440</xdr:colOff>
      <xdr:row>85</xdr:row>
      <xdr:rowOff>175320</xdr:rowOff>
    </xdr:to>
    <xdr:graphicFrame>
      <xdr:nvGraphicFramePr>
        <xdr:cNvPr id="0" name="Chart 1"/>
        <xdr:cNvGraphicFramePr/>
      </xdr:nvGraphicFramePr>
      <xdr:xfrm>
        <a:off x="211320" y="1066788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74</xdr:row>
      <xdr:rowOff>131040</xdr:rowOff>
    </xdr:from>
    <xdr:to>
      <xdr:col>8</xdr:col>
      <xdr:colOff>181440</xdr:colOff>
      <xdr:row>104</xdr:row>
      <xdr:rowOff>175680</xdr:rowOff>
    </xdr:to>
    <xdr:graphicFrame>
      <xdr:nvGraphicFramePr>
        <xdr:cNvPr id="1" name="Chart 2"/>
        <xdr:cNvGraphicFramePr/>
      </xdr:nvGraphicFramePr>
      <xdr:xfrm>
        <a:off x="211320" y="1428768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93</xdr:row>
      <xdr:rowOff>131040</xdr:rowOff>
    </xdr:from>
    <xdr:to>
      <xdr:col>8</xdr:col>
      <xdr:colOff>181440</xdr:colOff>
      <xdr:row>123</xdr:row>
      <xdr:rowOff>175680</xdr:rowOff>
    </xdr:to>
    <xdr:graphicFrame>
      <xdr:nvGraphicFramePr>
        <xdr:cNvPr id="2" name="Chart 3"/>
        <xdr:cNvGraphicFramePr/>
      </xdr:nvGraphicFramePr>
      <xdr:xfrm>
        <a:off x="211320" y="1790712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120</xdr:row>
      <xdr:rowOff>130680</xdr:rowOff>
    </xdr:from>
    <xdr:to>
      <xdr:col>4</xdr:col>
      <xdr:colOff>528480</xdr:colOff>
      <xdr:row>143</xdr:row>
      <xdr:rowOff>68760</xdr:rowOff>
    </xdr:to>
    <xdr:graphicFrame>
      <xdr:nvGraphicFramePr>
        <xdr:cNvPr id="3" name="Chart 4"/>
        <xdr:cNvGraphicFramePr/>
      </xdr:nvGraphicFramePr>
      <xdr:xfrm>
        <a:off x="211320" y="230504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120</xdr:row>
      <xdr:rowOff>130680</xdr:rowOff>
    </xdr:from>
    <xdr:to>
      <xdr:col>9</xdr:col>
      <xdr:colOff>105480</xdr:colOff>
      <xdr:row>143</xdr:row>
      <xdr:rowOff>68760</xdr:rowOff>
    </xdr:to>
    <xdr:graphicFrame>
      <xdr:nvGraphicFramePr>
        <xdr:cNvPr id="4" name="Chart 5"/>
        <xdr:cNvGraphicFramePr/>
      </xdr:nvGraphicFramePr>
      <xdr:xfrm>
        <a:off x="5709240" y="230504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18360</xdr:rowOff>
    </xdr:from>
    <xdr:to>
      <xdr:col>10</xdr:col>
      <xdr:colOff>212040</xdr:colOff>
      <xdr:row>36</xdr:row>
      <xdr:rowOff>13680</xdr:rowOff>
    </xdr:to>
    <xdr:graphicFrame>
      <xdr:nvGraphicFramePr>
        <xdr:cNvPr id="5" name="Chart 1"/>
        <xdr:cNvGraphicFramePr/>
      </xdr:nvGraphicFramePr>
      <xdr:xfrm>
        <a:off x="3453840" y="24764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50</xdr:row>
      <xdr:rowOff>28080</xdr:rowOff>
    </xdr:from>
    <xdr:to>
      <xdr:col>7</xdr:col>
      <xdr:colOff>166320</xdr:colOff>
      <xdr:row>74</xdr:row>
      <xdr:rowOff>135720</xdr:rowOff>
    </xdr:to>
    <xdr:graphicFrame>
      <xdr:nvGraphicFramePr>
        <xdr:cNvPr id="6" name="Chart 2"/>
        <xdr:cNvGraphicFramePr/>
      </xdr:nvGraphicFramePr>
      <xdr:xfrm>
        <a:off x="211320" y="102870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4"/>
    <col collapsed="false" customWidth="true" hidden="false" outlineLevel="0" max="9" min="9" style="0" width="3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4" t="s">
        <v>3</v>
      </c>
      <c r="C6" s="4" t="s">
        <v>4</v>
      </c>
      <c r="D6" s="4"/>
      <c r="E6" s="4"/>
      <c r="F6" s="4"/>
      <c r="G6" s="4"/>
      <c r="H6" s="4"/>
      <c r="I6" s="4" t="s">
        <v>5</v>
      </c>
    </row>
    <row r="7" customFormat="false" ht="15" hidden="false" customHeight="false" outlineLevel="0" collapsed="false">
      <c r="B7" s="5" t="s">
        <v>6</v>
      </c>
      <c r="C7" s="6"/>
      <c r="D7" s="6"/>
      <c r="E7" s="6"/>
      <c r="F7" s="6"/>
      <c r="G7" s="6"/>
      <c r="H7" s="6"/>
      <c r="I7" s="7" t="s">
        <v>7</v>
      </c>
    </row>
    <row r="8" customFormat="false" ht="15" hidden="false" customHeight="false" outlineLevel="0" collapsed="false">
      <c r="B8" s="5" t="s">
        <v>8</v>
      </c>
      <c r="C8" s="6"/>
      <c r="D8" s="6"/>
      <c r="E8" s="6"/>
      <c r="F8" s="6"/>
      <c r="G8" s="6"/>
      <c r="H8" s="6"/>
      <c r="I8" s="7" t="s">
        <v>9</v>
      </c>
    </row>
    <row r="9" customFormat="false" ht="15" hidden="false" customHeight="false" outlineLevel="0" collapsed="false">
      <c r="B9" s="5" t="s">
        <v>10</v>
      </c>
      <c r="C9" s="6"/>
      <c r="D9" s="6"/>
      <c r="E9" s="6"/>
      <c r="F9" s="6"/>
      <c r="G9" s="6"/>
      <c r="H9" s="6"/>
      <c r="I9" s="7" t="s">
        <v>11</v>
      </c>
    </row>
    <row r="10" customFormat="false" ht="15" hidden="false" customHeight="false" outlineLevel="0" collapsed="false">
      <c r="B10" s="5" t="s">
        <v>12</v>
      </c>
      <c r="C10" s="6"/>
      <c r="D10" s="6"/>
      <c r="E10" s="6"/>
      <c r="F10" s="6"/>
      <c r="G10" s="6"/>
      <c r="H10" s="6"/>
      <c r="I10" s="7" t="s">
        <v>13</v>
      </c>
    </row>
    <row r="11" customFormat="false" ht="15" hidden="false" customHeight="false" outlineLevel="0" collapsed="false">
      <c r="B11" s="5" t="s">
        <v>14</v>
      </c>
      <c r="C11" s="6"/>
      <c r="D11" s="6"/>
      <c r="E11" s="6"/>
      <c r="F11" s="6"/>
      <c r="G11" s="6"/>
      <c r="H11" s="6"/>
      <c r="I11" s="7" t="s">
        <v>15</v>
      </c>
    </row>
    <row r="12" customFormat="false" ht="15" hidden="false" customHeight="false" outlineLevel="0" collapsed="false">
      <c r="B12" s="5" t="s">
        <v>16</v>
      </c>
      <c r="C12" s="6"/>
      <c r="D12" s="6"/>
      <c r="E12" s="6"/>
      <c r="F12" s="6"/>
      <c r="G12" s="6"/>
      <c r="H12" s="6"/>
      <c r="I12" s="7" t="s">
        <v>17</v>
      </c>
    </row>
    <row r="13" customFormat="false" ht="15" hidden="false" customHeight="false" outlineLevel="0" collapsed="false">
      <c r="B13" s="5" t="s">
        <v>18</v>
      </c>
      <c r="C13" s="6"/>
      <c r="D13" s="6"/>
      <c r="E13" s="6"/>
      <c r="F13" s="6"/>
      <c r="G13" s="6"/>
      <c r="H13" s="6"/>
      <c r="I13" s="7" t="s">
        <v>19</v>
      </c>
    </row>
    <row r="14" customFormat="false" ht="15" hidden="false" customHeight="false" outlineLevel="0" collapsed="false">
      <c r="B14" s="5" t="s">
        <v>20</v>
      </c>
      <c r="C14" s="6"/>
      <c r="D14" s="6"/>
      <c r="E14" s="6"/>
      <c r="F14" s="6"/>
      <c r="G14" s="6"/>
      <c r="H14" s="6"/>
      <c r="I14" s="7" t="s">
        <v>21</v>
      </c>
    </row>
    <row r="15" customFormat="false" ht="15" hidden="false" customHeight="false" outlineLevel="0" collapsed="false">
      <c r="B15" s="5" t="s">
        <v>22</v>
      </c>
      <c r="C15" s="6"/>
      <c r="D15" s="6"/>
      <c r="E15" s="6"/>
      <c r="F15" s="6"/>
      <c r="G15" s="6"/>
      <c r="H15" s="6"/>
      <c r="I15" s="7" t="s">
        <v>23</v>
      </c>
    </row>
    <row r="17" customFormat="false" ht="15" hidden="false" customHeight="true" outlineLevel="0" collapsed="false">
      <c r="B17" s="3" t="s">
        <v>24</v>
      </c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B18" s="4" t="s">
        <v>25</v>
      </c>
      <c r="C18" s="4" t="s">
        <v>26</v>
      </c>
      <c r="D18" s="4" t="s">
        <v>27</v>
      </c>
      <c r="E18" s="4" t="s">
        <v>28</v>
      </c>
      <c r="F18" s="4" t="s">
        <v>29</v>
      </c>
      <c r="G18" s="4" t="s">
        <v>30</v>
      </c>
      <c r="H18" s="4"/>
      <c r="I18" s="4" t="s">
        <v>31</v>
      </c>
    </row>
    <row r="19" customFormat="false" ht="15" hidden="false" customHeight="false" outlineLevel="0" collapsed="false">
      <c r="B19" s="8" t="s">
        <v>32</v>
      </c>
      <c r="C19" s="9" t="n">
        <v>0.15</v>
      </c>
      <c r="D19" s="9" t="n">
        <v>0.2</v>
      </c>
      <c r="E19" s="9" t="n">
        <v>0.22</v>
      </c>
      <c r="F19" s="9" t="n">
        <v>0.25</v>
      </c>
      <c r="G19" s="9" t="n">
        <v>0.25</v>
      </c>
      <c r="H19" s="10"/>
      <c r="I19" s="11" t="s">
        <v>33</v>
      </c>
    </row>
    <row r="20" customFormat="false" ht="15" hidden="false" customHeight="false" outlineLevel="0" collapsed="false">
      <c r="B20" s="12" t="s">
        <v>34</v>
      </c>
      <c r="C20" s="13" t="n">
        <v>0.05</v>
      </c>
      <c r="D20" s="13" t="n">
        <v>0.1</v>
      </c>
      <c r="E20" s="13" t="n">
        <v>0.14</v>
      </c>
      <c r="F20" s="13" t="n">
        <v>0.17</v>
      </c>
      <c r="G20" s="13" t="n">
        <v>0.2</v>
      </c>
      <c r="H20" s="14"/>
      <c r="I20" s="15" t="s">
        <v>35</v>
      </c>
    </row>
    <row r="21" customFormat="false" ht="15" hidden="false" customHeight="false" outlineLevel="0" collapsed="false">
      <c r="B21" s="8" t="s">
        <v>36</v>
      </c>
      <c r="C21" s="9" t="n">
        <v>0.15</v>
      </c>
      <c r="D21" s="9" t="n">
        <v>0.22</v>
      </c>
      <c r="E21" s="9" t="n">
        <v>0.28</v>
      </c>
      <c r="F21" s="9" t="n">
        <v>0.32</v>
      </c>
      <c r="G21" s="9" t="n">
        <v>0.35</v>
      </c>
      <c r="H21" s="10"/>
      <c r="I21" s="11" t="s">
        <v>37</v>
      </c>
    </row>
    <row r="22" customFormat="false" ht="15" hidden="false" customHeight="false" outlineLevel="0" collapsed="false">
      <c r="B22" s="12" t="s">
        <v>38</v>
      </c>
      <c r="C22" s="13" t="n">
        <v>0.08</v>
      </c>
      <c r="D22" s="13" t="n">
        <v>0.12</v>
      </c>
      <c r="E22" s="13" t="n">
        <v>0.16</v>
      </c>
      <c r="F22" s="13" t="n">
        <v>0.2</v>
      </c>
      <c r="G22" s="13" t="n">
        <v>0.22</v>
      </c>
      <c r="H22" s="14"/>
      <c r="I22" s="15" t="s">
        <v>39</v>
      </c>
    </row>
    <row r="23" customFormat="false" ht="15" hidden="false" customHeight="false" outlineLevel="0" collapsed="false">
      <c r="B23" s="8" t="s">
        <v>40</v>
      </c>
      <c r="C23" s="9" t="n">
        <v>0</v>
      </c>
      <c r="D23" s="9" t="n">
        <v>0.03</v>
      </c>
      <c r="E23" s="9" t="n">
        <v>0.06</v>
      </c>
      <c r="F23" s="9" t="n">
        <v>0.09</v>
      </c>
      <c r="G23" s="9" t="n">
        <v>0.12</v>
      </c>
      <c r="H23" s="10"/>
      <c r="I23" s="11" t="s">
        <v>41</v>
      </c>
    </row>
    <row r="24" customFormat="false" ht="15" hidden="false" customHeight="false" outlineLevel="0" collapsed="false">
      <c r="B24" s="12" t="s">
        <v>42</v>
      </c>
      <c r="C24" s="13" t="n">
        <v>0.7</v>
      </c>
      <c r="D24" s="14"/>
      <c r="E24" s="14"/>
      <c r="F24" s="14"/>
      <c r="G24" s="14"/>
      <c r="H24" s="14"/>
      <c r="I24" s="15" t="s">
        <v>43</v>
      </c>
    </row>
    <row r="26" customFormat="false" ht="15" hidden="false" customHeight="true" outlineLevel="0" collapsed="false">
      <c r="B26" s="3" t="s">
        <v>44</v>
      </c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B27" s="4" t="s">
        <v>45</v>
      </c>
      <c r="C27" s="4" t="s">
        <v>46</v>
      </c>
      <c r="D27" s="4"/>
      <c r="E27" s="4"/>
      <c r="F27" s="4"/>
      <c r="G27" s="4"/>
      <c r="H27" s="4"/>
      <c r="I27" s="4" t="s">
        <v>31</v>
      </c>
    </row>
    <row r="28" customFormat="false" ht="15" hidden="false" customHeight="false" outlineLevel="0" collapsed="false">
      <c r="B28" s="8" t="s">
        <v>47</v>
      </c>
      <c r="C28" s="16" t="n">
        <v>0.22</v>
      </c>
      <c r="D28" s="16"/>
      <c r="E28" s="16"/>
      <c r="F28" s="16"/>
      <c r="G28" s="16"/>
      <c r="H28" s="16"/>
      <c r="I28" s="11" t="s">
        <v>48</v>
      </c>
    </row>
    <row r="29" customFormat="false" ht="15" hidden="false" customHeight="false" outlineLevel="0" collapsed="false">
      <c r="B29" s="12" t="s">
        <v>49</v>
      </c>
      <c r="C29" s="17" t="n">
        <v>750</v>
      </c>
      <c r="D29" s="17"/>
      <c r="E29" s="17"/>
      <c r="F29" s="17"/>
      <c r="G29" s="17"/>
      <c r="H29" s="17"/>
      <c r="I29" s="15" t="s">
        <v>50</v>
      </c>
    </row>
    <row r="30" customFormat="false" ht="15" hidden="false" customHeight="false" outlineLevel="0" collapsed="false">
      <c r="B30" s="8" t="s">
        <v>51</v>
      </c>
      <c r="C30" s="16" t="n">
        <v>0.03</v>
      </c>
      <c r="D30" s="16"/>
      <c r="E30" s="16"/>
      <c r="F30" s="16"/>
      <c r="G30" s="16"/>
      <c r="H30" s="16"/>
      <c r="I30" s="11" t="s">
        <v>52</v>
      </c>
    </row>
    <row r="32" customFormat="false" ht="15" hidden="false" customHeight="true" outlineLevel="0" collapsed="false">
      <c r="B32" s="3" t="s">
        <v>53</v>
      </c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B33" s="4"/>
      <c r="C33" s="4" t="s">
        <v>26</v>
      </c>
      <c r="D33" s="4" t="s">
        <v>27</v>
      </c>
      <c r="E33" s="4" t="s">
        <v>28</v>
      </c>
      <c r="F33" s="4" t="s">
        <v>29</v>
      </c>
      <c r="G33" s="4" t="s">
        <v>30</v>
      </c>
      <c r="H33" s="4"/>
      <c r="I33" s="4" t="s">
        <v>54</v>
      </c>
    </row>
    <row r="34" customFormat="false" ht="15" hidden="false" customHeight="false" outlineLevel="0" collapsed="false">
      <c r="B34" s="8" t="s">
        <v>55</v>
      </c>
      <c r="C34" s="18" t="n">
        <v>8000</v>
      </c>
      <c r="D34" s="18" t="n">
        <v>15000</v>
      </c>
      <c r="E34" s="18" t="n">
        <v>25000</v>
      </c>
      <c r="F34" s="18" t="n">
        <v>35000</v>
      </c>
      <c r="G34" s="18" t="n">
        <v>42000</v>
      </c>
      <c r="H34" s="10"/>
      <c r="I34" s="11" t="s">
        <v>56</v>
      </c>
    </row>
    <row r="36" customFormat="false" ht="15" hidden="false" customHeight="true" outlineLevel="0" collapsed="false">
      <c r="B36" s="3" t="s">
        <v>57</v>
      </c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B37" s="4"/>
      <c r="C37" s="4" t="s">
        <v>26</v>
      </c>
      <c r="D37" s="4" t="s">
        <v>27</v>
      </c>
      <c r="E37" s="4" t="s">
        <v>28</v>
      </c>
      <c r="F37" s="4" t="s">
        <v>29</v>
      </c>
      <c r="G37" s="4" t="s">
        <v>30</v>
      </c>
      <c r="H37" s="4" t="s">
        <v>58</v>
      </c>
      <c r="I37" s="4" t="s">
        <v>59</v>
      </c>
    </row>
    <row r="38" customFormat="false" ht="15" hidden="false" customHeight="false" outlineLevel="0" collapsed="false">
      <c r="B38" s="8" t="s">
        <v>60</v>
      </c>
      <c r="C38" s="18" t="n">
        <v>11000</v>
      </c>
      <c r="D38" s="18" t="n">
        <v>6000</v>
      </c>
      <c r="E38" s="18" t="n">
        <v>5000</v>
      </c>
      <c r="F38" s="18" t="n">
        <v>4000</v>
      </c>
      <c r="G38" s="18" t="n">
        <v>4000</v>
      </c>
      <c r="H38" s="19" t="n">
        <f aca="false">SUM(C38:G38)</f>
        <v>30000</v>
      </c>
      <c r="I38" s="11" t="s">
        <v>61</v>
      </c>
    </row>
  </sheetData>
  <mergeCells count="19">
    <mergeCell ref="B2:H2"/>
    <mergeCell ref="B3:H3"/>
    <mergeCell ref="B5:I5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7:I17"/>
    <mergeCell ref="B26:I26"/>
    <mergeCell ref="C28:H28"/>
    <mergeCell ref="C29:H29"/>
    <mergeCell ref="C30:H30"/>
    <mergeCell ref="B32:I32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B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32"/>
  </cols>
  <sheetData>
    <row r="2" customFormat="false" ht="19.7" hidden="false" customHeight="false" outlineLevel="0" collapsed="false">
      <c r="B2" s="1" t="s">
        <v>62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63</v>
      </c>
      <c r="C3" s="2"/>
      <c r="D3" s="2"/>
      <c r="E3" s="2"/>
      <c r="F3" s="2"/>
      <c r="G3" s="2"/>
    </row>
    <row r="5" customFormat="false" ht="15" hidden="false" customHeight="true" outlineLevel="0" collapsed="false">
      <c r="B5" s="3" t="s">
        <v>64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20"/>
      <c r="C6" s="21" t="s">
        <v>65</v>
      </c>
      <c r="D6" s="20"/>
      <c r="E6" s="22" t="s">
        <v>66</v>
      </c>
      <c r="F6" s="20"/>
      <c r="G6" s="20" t="s">
        <v>67</v>
      </c>
    </row>
    <row r="7" customFormat="false" ht="15" hidden="false" customHeight="false" outlineLevel="0" collapsed="false">
      <c r="B7" s="8" t="s">
        <v>68</v>
      </c>
      <c r="C7" s="23" t="s">
        <v>69</v>
      </c>
      <c r="D7" s="10"/>
      <c r="E7" s="24" t="s">
        <v>69</v>
      </c>
      <c r="F7" s="10"/>
      <c r="G7" s="11" t="s">
        <v>70</v>
      </c>
    </row>
    <row r="8" customFormat="false" ht="15" hidden="false" customHeight="false" outlineLevel="0" collapsed="false">
      <c r="B8" s="12" t="s">
        <v>71</v>
      </c>
      <c r="C8" s="25" t="s">
        <v>69</v>
      </c>
      <c r="D8" s="14"/>
      <c r="E8" s="26" t="s">
        <v>69</v>
      </c>
      <c r="F8" s="14"/>
      <c r="G8" s="15" t="s">
        <v>72</v>
      </c>
    </row>
    <row r="9" customFormat="false" ht="15" hidden="false" customHeight="false" outlineLevel="0" collapsed="false">
      <c r="B9" s="8" t="s">
        <v>73</v>
      </c>
      <c r="C9" s="23" t="s">
        <v>74</v>
      </c>
      <c r="D9" s="10"/>
      <c r="E9" s="24" t="s">
        <v>75</v>
      </c>
      <c r="F9" s="10"/>
      <c r="G9" s="11" t="s">
        <v>76</v>
      </c>
    </row>
    <row r="10" customFormat="false" ht="15" hidden="false" customHeight="false" outlineLevel="0" collapsed="false">
      <c r="B10" s="12" t="s">
        <v>77</v>
      </c>
      <c r="C10" s="25" t="s">
        <v>78</v>
      </c>
      <c r="D10" s="14"/>
      <c r="E10" s="26" t="s">
        <v>79</v>
      </c>
      <c r="F10" s="14"/>
      <c r="G10" s="15" t="s">
        <v>80</v>
      </c>
    </row>
    <row r="11" customFormat="false" ht="15" hidden="false" customHeight="false" outlineLevel="0" collapsed="false">
      <c r="B11" s="8" t="s">
        <v>81</v>
      </c>
      <c r="C11" s="23" t="s">
        <v>82</v>
      </c>
      <c r="D11" s="10"/>
      <c r="E11" s="24" t="s">
        <v>83</v>
      </c>
      <c r="F11" s="10"/>
      <c r="G11" s="11" t="s">
        <v>84</v>
      </c>
    </row>
    <row r="12" customFormat="false" ht="15" hidden="false" customHeight="false" outlineLevel="0" collapsed="false">
      <c r="B12" s="12" t="s">
        <v>85</v>
      </c>
      <c r="C12" s="25" t="s">
        <v>86</v>
      </c>
      <c r="D12" s="14"/>
      <c r="E12" s="26" t="s">
        <v>87</v>
      </c>
      <c r="F12" s="14"/>
      <c r="G12" s="15" t="s">
        <v>88</v>
      </c>
    </row>
    <row r="13" customFormat="false" ht="15" hidden="false" customHeight="false" outlineLevel="0" collapsed="false">
      <c r="B13" s="8" t="s">
        <v>89</v>
      </c>
      <c r="C13" s="23" t="s">
        <v>82</v>
      </c>
      <c r="D13" s="10"/>
      <c r="E13" s="24" t="s">
        <v>90</v>
      </c>
      <c r="F13" s="10"/>
      <c r="G13" s="11" t="s">
        <v>91</v>
      </c>
    </row>
    <row r="14" customFormat="false" ht="15" hidden="false" customHeight="false" outlineLevel="0" collapsed="false">
      <c r="B14" s="12" t="s">
        <v>92</v>
      </c>
      <c r="C14" s="25" t="s">
        <v>82</v>
      </c>
      <c r="D14" s="14"/>
      <c r="E14" s="26" t="s">
        <v>93</v>
      </c>
      <c r="F14" s="14"/>
      <c r="G14" s="15" t="s">
        <v>94</v>
      </c>
    </row>
    <row r="15" customFormat="false" ht="15" hidden="false" customHeight="false" outlineLevel="0" collapsed="false">
      <c r="B15" s="8" t="s">
        <v>95</v>
      </c>
      <c r="C15" s="23" t="s">
        <v>96</v>
      </c>
      <c r="D15" s="10"/>
      <c r="E15" s="24" t="s">
        <v>97</v>
      </c>
      <c r="F15" s="10"/>
      <c r="G15" s="11" t="s">
        <v>98</v>
      </c>
    </row>
    <row r="16" customFormat="false" ht="15" hidden="false" customHeight="false" outlineLevel="0" collapsed="false">
      <c r="B16" s="12" t="s">
        <v>99</v>
      </c>
      <c r="C16" s="25" t="s">
        <v>100</v>
      </c>
      <c r="D16" s="14"/>
      <c r="E16" s="26" t="s">
        <v>101</v>
      </c>
      <c r="F16" s="14"/>
      <c r="G16" s="15" t="s">
        <v>102</v>
      </c>
    </row>
    <row r="17" customFormat="false" ht="15" hidden="false" customHeight="false" outlineLevel="0" collapsed="false">
      <c r="B17" s="27" t="s">
        <v>103</v>
      </c>
      <c r="C17" s="28" t="s">
        <v>104</v>
      </c>
      <c r="D17" s="27"/>
      <c r="E17" s="29" t="s">
        <v>105</v>
      </c>
      <c r="F17" s="27"/>
      <c r="G17" s="30" t="s">
        <v>106</v>
      </c>
    </row>
    <row r="19" customFormat="false" ht="15" hidden="false" customHeight="true" outlineLevel="0" collapsed="false">
      <c r="B19" s="3" t="s">
        <v>107</v>
      </c>
      <c r="C19" s="3"/>
      <c r="D19" s="3"/>
      <c r="E19" s="3"/>
      <c r="F19" s="3"/>
      <c r="G19" s="3"/>
    </row>
    <row r="20" customFormat="false" ht="15" hidden="false" customHeight="false" outlineLevel="0" collapsed="false">
      <c r="B20" s="4" t="s">
        <v>45</v>
      </c>
      <c r="C20" s="4" t="s">
        <v>108</v>
      </c>
      <c r="D20" s="4"/>
      <c r="E20" s="4" t="s">
        <v>109</v>
      </c>
      <c r="F20" s="4"/>
      <c r="G20" s="4" t="s">
        <v>110</v>
      </c>
    </row>
    <row r="21" customFormat="false" ht="15" hidden="false" customHeight="false" outlineLevel="0" collapsed="false">
      <c r="B21" s="8" t="s">
        <v>111</v>
      </c>
      <c r="C21" s="31" t="s">
        <v>112</v>
      </c>
      <c r="D21" s="10"/>
      <c r="E21" s="32" t="s">
        <v>113</v>
      </c>
      <c r="F21" s="10"/>
      <c r="G21" s="33" t="s">
        <v>114</v>
      </c>
    </row>
    <row r="22" customFormat="false" ht="15" hidden="false" customHeight="false" outlineLevel="0" collapsed="false">
      <c r="B22" s="12" t="s">
        <v>115</v>
      </c>
      <c r="C22" s="34" t="s">
        <v>116</v>
      </c>
      <c r="D22" s="14"/>
      <c r="E22" s="35" t="s">
        <v>117</v>
      </c>
      <c r="F22" s="14"/>
      <c r="G22" s="36" t="s">
        <v>118</v>
      </c>
    </row>
    <row r="23" customFormat="false" ht="15" hidden="false" customHeight="false" outlineLevel="0" collapsed="false">
      <c r="B23" s="8" t="s">
        <v>119</v>
      </c>
      <c r="C23" s="31" t="s">
        <v>120</v>
      </c>
      <c r="D23" s="10"/>
      <c r="E23" s="32" t="s">
        <v>121</v>
      </c>
      <c r="F23" s="10"/>
      <c r="G23" s="33" t="s">
        <v>122</v>
      </c>
    </row>
    <row r="24" customFormat="false" ht="15" hidden="false" customHeight="false" outlineLevel="0" collapsed="false">
      <c r="B24" s="12" t="s">
        <v>123</v>
      </c>
      <c r="C24" s="34" t="s">
        <v>124</v>
      </c>
      <c r="D24" s="14"/>
      <c r="E24" s="35" t="s">
        <v>125</v>
      </c>
      <c r="F24" s="14"/>
      <c r="G24" s="36" t="s">
        <v>126</v>
      </c>
    </row>
    <row r="25" customFormat="false" ht="15" hidden="false" customHeight="false" outlineLevel="0" collapsed="false">
      <c r="B25" s="8" t="s">
        <v>127</v>
      </c>
      <c r="C25" s="31" t="s">
        <v>128</v>
      </c>
      <c r="D25" s="10"/>
      <c r="E25" s="32" t="s">
        <v>129</v>
      </c>
      <c r="F25" s="10"/>
      <c r="G25" s="33" t="s">
        <v>130</v>
      </c>
    </row>
    <row r="26" customFormat="false" ht="15" hidden="false" customHeight="false" outlineLevel="0" collapsed="false">
      <c r="B26" s="12" t="s">
        <v>131</v>
      </c>
      <c r="C26" s="34" t="s">
        <v>132</v>
      </c>
      <c r="D26" s="14"/>
      <c r="E26" s="35" t="s">
        <v>133</v>
      </c>
      <c r="F26" s="14"/>
      <c r="G26" s="36" t="s">
        <v>134</v>
      </c>
    </row>
    <row r="28" customFormat="false" ht="39.75" hidden="false" customHeight="true" outlineLevel="0" collapsed="false">
      <c r="B28" s="37" t="s">
        <v>135</v>
      </c>
      <c r="C28" s="37"/>
      <c r="D28" s="37"/>
      <c r="E28" s="37"/>
      <c r="F28" s="37"/>
      <c r="G28" s="37"/>
    </row>
  </sheetData>
  <mergeCells count="5">
    <mergeCell ref="B2:G2"/>
    <mergeCell ref="B3:G3"/>
    <mergeCell ref="B5:G5"/>
    <mergeCell ref="B19:G19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017"/>
    <pageSetUpPr fitToPage="false"/>
  </sheetPr>
  <dimension ref="B2:I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8" min="3" style="0" width="14"/>
    <col collapsed="false" customWidth="true" hidden="false" outlineLevel="0" max="9" min="9" style="0" width="28"/>
  </cols>
  <sheetData>
    <row r="2" customFormat="false" ht="19.7" hidden="false" customHeight="false" outlineLevel="0" collapsed="false">
      <c r="B2" s="1" t="s">
        <v>136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137</v>
      </c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138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38" t="s">
        <v>139</v>
      </c>
      <c r="C6" s="38"/>
      <c r="D6" s="38"/>
      <c r="E6" s="38"/>
      <c r="F6" s="38"/>
      <c r="G6" s="38"/>
      <c r="H6" s="38"/>
      <c r="I6" s="38"/>
    </row>
    <row r="7" customFormat="false" ht="15" hidden="false" customHeight="false" outlineLevel="0" collapsed="false"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58</v>
      </c>
      <c r="I7" s="4" t="s">
        <v>140</v>
      </c>
    </row>
    <row r="8" customFormat="false" ht="15" hidden="false" customHeight="false" outlineLevel="0" collapsed="false">
      <c r="B8" s="39" t="s">
        <v>141</v>
      </c>
      <c r="C8" s="40" t="n">
        <v>55</v>
      </c>
      <c r="D8" s="40" t="n">
        <v>25</v>
      </c>
      <c r="E8" s="40" t="n">
        <v>10</v>
      </c>
      <c r="F8" s="40" t="n">
        <v>0</v>
      </c>
      <c r="G8" s="40" t="n">
        <v>0</v>
      </c>
      <c r="H8" s="41" t="n">
        <f aca="false">SUM(C8:G8)</f>
        <v>90</v>
      </c>
      <c r="I8" s="11" t="s">
        <v>142</v>
      </c>
    </row>
    <row r="9" customFormat="false" ht="15" hidden="false" customHeight="false" outlineLevel="0" collapsed="false">
      <c r="B9" s="12" t="s">
        <v>34</v>
      </c>
      <c r="C9" s="42" t="n">
        <v>8</v>
      </c>
      <c r="D9" s="42" t="n">
        <v>28</v>
      </c>
      <c r="E9" s="42" t="n">
        <v>42</v>
      </c>
      <c r="F9" s="42" t="n">
        <v>52</v>
      </c>
      <c r="G9" s="42" t="n">
        <v>58</v>
      </c>
      <c r="H9" s="43" t="n">
        <f aca="false">SUM(C9:G9)</f>
        <v>188</v>
      </c>
      <c r="I9" s="15" t="s">
        <v>143</v>
      </c>
    </row>
    <row r="10" customFormat="false" ht="15" hidden="false" customHeight="false" outlineLevel="0" collapsed="false">
      <c r="B10" s="8" t="s">
        <v>36</v>
      </c>
      <c r="C10" s="40" t="n">
        <v>6</v>
      </c>
      <c r="D10" s="40" t="n">
        <v>14</v>
      </c>
      <c r="E10" s="40" t="n">
        <v>22</v>
      </c>
      <c r="F10" s="40" t="n">
        <v>28</v>
      </c>
      <c r="G10" s="40" t="n">
        <v>30</v>
      </c>
      <c r="H10" s="41" t="n">
        <f aca="false">SUM(C10:G10)</f>
        <v>100</v>
      </c>
      <c r="I10" s="11" t="s">
        <v>144</v>
      </c>
    </row>
    <row r="11" customFormat="false" ht="15" hidden="false" customHeight="false" outlineLevel="0" collapsed="false">
      <c r="B11" s="12" t="s">
        <v>38</v>
      </c>
      <c r="C11" s="42" t="n">
        <v>15</v>
      </c>
      <c r="D11" s="42" t="n">
        <v>22</v>
      </c>
      <c r="E11" s="42" t="n">
        <v>30</v>
      </c>
      <c r="F11" s="42" t="n">
        <v>38</v>
      </c>
      <c r="G11" s="42" t="n">
        <v>42</v>
      </c>
      <c r="H11" s="43" t="n">
        <f aca="false">SUM(C11:G11)</f>
        <v>147</v>
      </c>
      <c r="I11" s="15" t="s">
        <v>145</v>
      </c>
    </row>
    <row r="12" customFormat="false" ht="15" hidden="false" customHeight="false" outlineLevel="0" collapsed="false">
      <c r="B12" s="8" t="s">
        <v>40</v>
      </c>
      <c r="C12" s="40" t="n">
        <v>0</v>
      </c>
      <c r="D12" s="40" t="n">
        <v>3</v>
      </c>
      <c r="E12" s="40" t="n">
        <v>8</v>
      </c>
      <c r="F12" s="40" t="n">
        <v>12</v>
      </c>
      <c r="G12" s="40" t="n">
        <v>16</v>
      </c>
      <c r="H12" s="41" t="n">
        <f aca="false">SUM(C12:G12)</f>
        <v>39</v>
      </c>
      <c r="I12" s="11" t="s">
        <v>146</v>
      </c>
    </row>
    <row r="13" customFormat="false" ht="15" hidden="false" customHeight="false" outlineLevel="0" collapsed="false">
      <c r="B13" s="27" t="s">
        <v>147</v>
      </c>
      <c r="C13" s="44" t="n">
        <f aca="false">SUM(C8:C12)</f>
        <v>84</v>
      </c>
      <c r="D13" s="44" t="n">
        <f aca="false">SUM(D8:D12)</f>
        <v>92</v>
      </c>
      <c r="E13" s="44" t="n">
        <f aca="false">SUM(E8:E12)</f>
        <v>112</v>
      </c>
      <c r="F13" s="44" t="n">
        <f aca="false">SUM(F8:F12)</f>
        <v>130</v>
      </c>
      <c r="G13" s="44" t="n">
        <f aca="false">SUM(G8:G12)</f>
        <v>146</v>
      </c>
      <c r="H13" s="44" t="n">
        <f aca="false">SUM(H8:H12)</f>
        <v>564</v>
      </c>
      <c r="I13" s="27"/>
    </row>
    <row r="15" customFormat="false" ht="15" hidden="false" customHeight="true" outlineLevel="0" collapsed="false">
      <c r="B15" s="3" t="s">
        <v>148</v>
      </c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B16" s="4" t="s">
        <v>25</v>
      </c>
      <c r="C16" s="4" t="s">
        <v>26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58</v>
      </c>
      <c r="I16" s="4"/>
    </row>
    <row r="17" customFormat="false" ht="15" hidden="false" customHeight="false" outlineLevel="0" collapsed="false">
      <c r="B17" s="39" t="s">
        <v>141</v>
      </c>
      <c r="C17" s="41" t="n">
        <f aca="false">ROUND(C8*Inputs!C19,0)</f>
        <v>8</v>
      </c>
      <c r="D17" s="41" t="n">
        <f aca="false">ROUND(D8*Inputs!D19,0)</f>
        <v>5</v>
      </c>
      <c r="E17" s="41" t="n">
        <f aca="false">ROUND(E8*Inputs!E19,0)</f>
        <v>2</v>
      </c>
      <c r="F17" s="41" t="n">
        <f aca="false">ROUND(F8*Inputs!F19,0)</f>
        <v>0</v>
      </c>
      <c r="G17" s="41" t="n">
        <f aca="false">ROUND(G8*Inputs!G19,0)</f>
        <v>0</v>
      </c>
      <c r="H17" s="41" t="n">
        <f aca="false">SUM(C17:G17)</f>
        <v>15</v>
      </c>
      <c r="I17" s="10"/>
    </row>
    <row r="18" customFormat="false" ht="15" hidden="false" customHeight="false" outlineLevel="0" collapsed="false">
      <c r="B18" s="12" t="s">
        <v>34</v>
      </c>
      <c r="C18" s="43" t="n">
        <f aca="false">ROUND(C9*Inputs!C20,0)</f>
        <v>0</v>
      </c>
      <c r="D18" s="43" t="n">
        <f aca="false">ROUND(D9*Inputs!D20,0)</f>
        <v>3</v>
      </c>
      <c r="E18" s="43" t="n">
        <f aca="false">ROUND(E9*Inputs!E20,0)</f>
        <v>6</v>
      </c>
      <c r="F18" s="43" t="n">
        <f aca="false">ROUND(F9*Inputs!F20,0)</f>
        <v>9</v>
      </c>
      <c r="G18" s="43" t="n">
        <f aca="false">ROUND(G9*Inputs!G20,0)</f>
        <v>12</v>
      </c>
      <c r="H18" s="43" t="n">
        <f aca="false">SUM(C18:G18)</f>
        <v>30</v>
      </c>
      <c r="I18" s="14"/>
    </row>
    <row r="19" customFormat="false" ht="15" hidden="false" customHeight="false" outlineLevel="0" collapsed="false">
      <c r="B19" s="8" t="s">
        <v>36</v>
      </c>
      <c r="C19" s="41" t="n">
        <f aca="false">ROUND(C10*Inputs!C21,0)</f>
        <v>1</v>
      </c>
      <c r="D19" s="41" t="n">
        <f aca="false">ROUND(D10*Inputs!D21,0)</f>
        <v>3</v>
      </c>
      <c r="E19" s="41" t="n">
        <f aca="false">ROUND(E10*Inputs!E21,0)</f>
        <v>6</v>
      </c>
      <c r="F19" s="41" t="n">
        <f aca="false">ROUND(F10*Inputs!F21,0)</f>
        <v>9</v>
      </c>
      <c r="G19" s="41" t="n">
        <f aca="false">ROUND(G10*Inputs!G21,0)</f>
        <v>11</v>
      </c>
      <c r="H19" s="41" t="n">
        <f aca="false">SUM(C19:G19)</f>
        <v>30</v>
      </c>
      <c r="I19" s="10"/>
    </row>
    <row r="20" customFormat="false" ht="15" hidden="false" customHeight="false" outlineLevel="0" collapsed="false">
      <c r="B20" s="12" t="s">
        <v>38</v>
      </c>
      <c r="C20" s="43" t="n">
        <f aca="false">ROUND(C11*Inputs!C22,0)</f>
        <v>1</v>
      </c>
      <c r="D20" s="43" t="n">
        <f aca="false">ROUND(D11*Inputs!D22,0)</f>
        <v>3</v>
      </c>
      <c r="E20" s="43" t="n">
        <f aca="false">ROUND(E11*Inputs!E22,0)</f>
        <v>5</v>
      </c>
      <c r="F20" s="43" t="n">
        <f aca="false">ROUND(F11*Inputs!F22,0)</f>
        <v>8</v>
      </c>
      <c r="G20" s="43" t="n">
        <f aca="false">ROUND(G11*Inputs!G22,0)</f>
        <v>9</v>
      </c>
      <c r="H20" s="43" t="n">
        <f aca="false">SUM(C20:G20)</f>
        <v>26</v>
      </c>
      <c r="I20" s="14"/>
    </row>
    <row r="21" customFormat="false" ht="15" hidden="false" customHeight="false" outlineLevel="0" collapsed="false">
      <c r="B21" s="8" t="s">
        <v>40</v>
      </c>
      <c r="C21" s="41" t="n">
        <f aca="false">ROUND(C12*Inputs!C23,0)</f>
        <v>0</v>
      </c>
      <c r="D21" s="41" t="n">
        <f aca="false">ROUND(D12*Inputs!D23,0)</f>
        <v>0</v>
      </c>
      <c r="E21" s="41" t="n">
        <f aca="false">ROUND(E12*Inputs!E23,0)</f>
        <v>0</v>
      </c>
      <c r="F21" s="41" t="n">
        <f aca="false">ROUND(F12*Inputs!F23,0)</f>
        <v>1</v>
      </c>
      <c r="G21" s="41" t="n">
        <f aca="false">ROUND(G12*Inputs!G23,0)</f>
        <v>2</v>
      </c>
      <c r="H21" s="41" t="n">
        <f aca="false">SUM(C21:G21)</f>
        <v>3</v>
      </c>
      <c r="I21" s="10"/>
    </row>
    <row r="22" customFormat="false" ht="15" hidden="false" customHeight="false" outlineLevel="0" collapsed="false">
      <c r="B22" s="27" t="s">
        <v>149</v>
      </c>
      <c r="C22" s="44" t="n">
        <f aca="false">SUM(C17:C21)</f>
        <v>10</v>
      </c>
      <c r="D22" s="44" t="n">
        <f aca="false">SUM(D17:D21)</f>
        <v>14</v>
      </c>
      <c r="E22" s="44" t="n">
        <f aca="false">SUM(E17:E21)</f>
        <v>19</v>
      </c>
      <c r="F22" s="44" t="n">
        <f aca="false">SUM(F17:F21)</f>
        <v>27</v>
      </c>
      <c r="G22" s="44" t="n">
        <f aca="false">SUM(G17:G21)</f>
        <v>34</v>
      </c>
      <c r="H22" s="44" t="n">
        <f aca="false">SUM(H17:H21)</f>
        <v>104</v>
      </c>
      <c r="I22" s="27"/>
    </row>
    <row r="24" customFormat="false" ht="15" hidden="false" customHeight="true" outlineLevel="0" collapsed="false">
      <c r="B24" s="3" t="s">
        <v>150</v>
      </c>
      <c r="C24" s="3"/>
      <c r="D24" s="3"/>
      <c r="E24" s="3"/>
      <c r="F24" s="3"/>
      <c r="G24" s="3"/>
      <c r="H24" s="3"/>
      <c r="I24" s="3"/>
    </row>
    <row r="25" customFormat="false" ht="15" hidden="false" customHeight="true" outlineLevel="0" collapsed="false">
      <c r="B25" s="38" t="s">
        <v>151</v>
      </c>
      <c r="C25" s="38"/>
      <c r="D25" s="38"/>
      <c r="E25" s="38"/>
      <c r="F25" s="38"/>
      <c r="G25" s="38"/>
      <c r="H25" s="38"/>
      <c r="I25" s="38"/>
    </row>
    <row r="26" customFormat="false" ht="15" hidden="false" customHeight="false" outlineLevel="0" collapsed="false">
      <c r="B26" s="4"/>
      <c r="C26" s="4" t="s">
        <v>26</v>
      </c>
      <c r="D26" s="4" t="s">
        <v>27</v>
      </c>
      <c r="E26" s="4" t="s">
        <v>28</v>
      </c>
      <c r="F26" s="4" t="s">
        <v>29</v>
      </c>
      <c r="G26" s="4" t="s">
        <v>30</v>
      </c>
      <c r="H26" s="4" t="s">
        <v>58</v>
      </c>
      <c r="I26" s="4"/>
    </row>
    <row r="27" customFormat="false" ht="15" hidden="false" customHeight="false" outlineLevel="0" collapsed="false">
      <c r="B27" s="8" t="s">
        <v>152</v>
      </c>
      <c r="C27" s="41" t="n">
        <v>0</v>
      </c>
      <c r="D27" s="41" t="n">
        <f aca="false">ROUND(C29*Inputs!C24,0)</f>
        <v>7</v>
      </c>
      <c r="E27" s="41" t="n">
        <f aca="false">ROUND(D29*Inputs!C24,0)</f>
        <v>15</v>
      </c>
      <c r="F27" s="41" t="n">
        <f aca="false">ROUND(E29*Inputs!C24,0)</f>
        <v>24</v>
      </c>
      <c r="G27" s="41" t="n">
        <f aca="false">ROUND(F29*Inputs!C24,0)</f>
        <v>36</v>
      </c>
      <c r="H27" s="45" t="n">
        <f aca="false">SUM(C27:G27)</f>
        <v>82</v>
      </c>
      <c r="I27" s="10"/>
    </row>
    <row r="28" customFormat="false" ht="15" hidden="false" customHeight="false" outlineLevel="0" collapsed="false">
      <c r="B28" s="12" t="s">
        <v>153</v>
      </c>
      <c r="C28" s="43" t="n">
        <f aca="false">C22</f>
        <v>10</v>
      </c>
      <c r="D28" s="43" t="n">
        <f aca="false">D22</f>
        <v>14</v>
      </c>
      <c r="E28" s="43" t="n">
        <f aca="false">E22</f>
        <v>19</v>
      </c>
      <c r="F28" s="43" t="n">
        <f aca="false">F22</f>
        <v>27</v>
      </c>
      <c r="G28" s="43" t="n">
        <f aca="false">G22</f>
        <v>34</v>
      </c>
      <c r="H28" s="46" t="n">
        <f aca="false">SUM(C28:G28)</f>
        <v>104</v>
      </c>
      <c r="I28" s="14"/>
    </row>
    <row r="29" customFormat="false" ht="15" hidden="false" customHeight="false" outlineLevel="0" collapsed="false">
      <c r="B29" s="27" t="s">
        <v>154</v>
      </c>
      <c r="C29" s="44" t="n">
        <f aca="false">C27+C28</f>
        <v>10</v>
      </c>
      <c r="D29" s="44" t="n">
        <f aca="false">D27+D28</f>
        <v>21</v>
      </c>
      <c r="E29" s="44" t="n">
        <f aca="false">E27+E28</f>
        <v>34</v>
      </c>
      <c r="F29" s="44" t="n">
        <f aca="false">F27+F28</f>
        <v>51</v>
      </c>
      <c r="G29" s="44" t="n">
        <f aca="false">G27+G28</f>
        <v>70</v>
      </c>
      <c r="H29" s="47" t="n">
        <f aca="false">SUM(C29:G29)</f>
        <v>186</v>
      </c>
      <c r="I29" s="27"/>
    </row>
    <row r="31" customFormat="false" ht="15" hidden="false" customHeight="true" outlineLevel="0" collapsed="false">
      <c r="B31" s="3" t="s">
        <v>155</v>
      </c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B32" s="4" t="s">
        <v>156</v>
      </c>
      <c r="C32" s="4" t="s">
        <v>26</v>
      </c>
      <c r="D32" s="4" t="s">
        <v>27</v>
      </c>
      <c r="E32" s="4" t="s">
        <v>28</v>
      </c>
      <c r="F32" s="4" t="s">
        <v>29</v>
      </c>
      <c r="G32" s="4" t="s">
        <v>30</v>
      </c>
      <c r="H32" s="4" t="s">
        <v>157</v>
      </c>
      <c r="I32" s="4" t="s">
        <v>158</v>
      </c>
    </row>
    <row r="33" customFormat="false" ht="15" hidden="false" customHeight="false" outlineLevel="0" collapsed="false">
      <c r="B33" s="39" t="s">
        <v>159</v>
      </c>
      <c r="C33" s="48" t="n">
        <f aca="false">C17*$I33</f>
        <v>41600</v>
      </c>
      <c r="D33" s="48" t="n">
        <f aca="false">D17*$I33</f>
        <v>26000</v>
      </c>
      <c r="E33" s="48" t="n">
        <f aca="false">E17*$I33</f>
        <v>10400</v>
      </c>
      <c r="F33" s="48" t="n">
        <f aca="false">F17*$I33</f>
        <v>0</v>
      </c>
      <c r="G33" s="48" t="n">
        <f aca="false">G17*$I33</f>
        <v>0</v>
      </c>
      <c r="H33" s="19" t="n">
        <f aca="false">SUM(C33:G33)</f>
        <v>78000</v>
      </c>
      <c r="I33" s="18" t="n">
        <v>5200</v>
      </c>
    </row>
    <row r="34" customFormat="false" ht="15" hidden="false" customHeight="false" outlineLevel="0" collapsed="false">
      <c r="B34" s="12" t="s">
        <v>160</v>
      </c>
      <c r="C34" s="49" t="n">
        <f aca="false">C18*$I34</f>
        <v>0</v>
      </c>
      <c r="D34" s="49" t="n">
        <f aca="false">D18*$I34</f>
        <v>135000</v>
      </c>
      <c r="E34" s="49" t="n">
        <f aca="false">E18*$I34</f>
        <v>270000</v>
      </c>
      <c r="F34" s="49" t="n">
        <f aca="false">F18*$I34</f>
        <v>405000</v>
      </c>
      <c r="G34" s="49" t="n">
        <f aca="false">G18*$I34</f>
        <v>540000</v>
      </c>
      <c r="H34" s="50" t="n">
        <f aca="false">SUM(C34:G34)</f>
        <v>1350000</v>
      </c>
      <c r="I34" s="51" t="n">
        <v>45000</v>
      </c>
    </row>
    <row r="35" customFormat="false" ht="15" hidden="false" customHeight="false" outlineLevel="0" collapsed="false">
      <c r="B35" s="8" t="s">
        <v>161</v>
      </c>
      <c r="C35" s="48" t="n">
        <f aca="false">C19*$I35</f>
        <v>40000</v>
      </c>
      <c r="D35" s="48" t="n">
        <f aca="false">D19*$I35</f>
        <v>120000</v>
      </c>
      <c r="E35" s="48" t="n">
        <f aca="false">E19*$I35</f>
        <v>240000</v>
      </c>
      <c r="F35" s="48" t="n">
        <f aca="false">F19*$I35</f>
        <v>360000</v>
      </c>
      <c r="G35" s="48" t="n">
        <f aca="false">G19*$I35</f>
        <v>440000</v>
      </c>
      <c r="H35" s="19" t="n">
        <f aca="false">SUM(C35:G35)</f>
        <v>1200000</v>
      </c>
      <c r="I35" s="18" t="n">
        <v>40000</v>
      </c>
    </row>
    <row r="36" customFormat="false" ht="15" hidden="false" customHeight="false" outlineLevel="0" collapsed="false">
      <c r="B36" s="12" t="s">
        <v>162</v>
      </c>
      <c r="C36" s="49" t="n">
        <f aca="false">C20*$I36</f>
        <v>18000</v>
      </c>
      <c r="D36" s="49" t="n">
        <f aca="false">D20*$I36</f>
        <v>54000</v>
      </c>
      <c r="E36" s="49" t="n">
        <f aca="false">E20*$I36</f>
        <v>90000</v>
      </c>
      <c r="F36" s="49" t="n">
        <f aca="false">F20*$I36</f>
        <v>144000</v>
      </c>
      <c r="G36" s="49" t="n">
        <f aca="false">G20*$I36</f>
        <v>162000</v>
      </c>
      <c r="H36" s="50" t="n">
        <f aca="false">SUM(C36:G36)</f>
        <v>468000</v>
      </c>
      <c r="I36" s="51" t="n">
        <v>18000</v>
      </c>
    </row>
    <row r="37" customFormat="false" ht="15" hidden="false" customHeight="false" outlineLevel="0" collapsed="false">
      <c r="B37" s="8" t="s">
        <v>163</v>
      </c>
      <c r="C37" s="48" t="n">
        <f aca="false">C21*$I37</f>
        <v>0</v>
      </c>
      <c r="D37" s="48" t="n">
        <f aca="false">D21*$I37</f>
        <v>0</v>
      </c>
      <c r="E37" s="48" t="n">
        <f aca="false">E21*$I37</f>
        <v>0</v>
      </c>
      <c r="F37" s="48" t="n">
        <f aca="false">F21*$I37</f>
        <v>175000</v>
      </c>
      <c r="G37" s="48" t="n">
        <f aca="false">G21*$I37</f>
        <v>350000</v>
      </c>
      <c r="H37" s="19" t="n">
        <f aca="false">SUM(C37:G37)</f>
        <v>525000</v>
      </c>
      <c r="I37" s="18" t="n">
        <v>175000</v>
      </c>
    </row>
    <row r="38" customFormat="false" ht="15" hidden="false" customHeight="false" outlineLevel="0" collapsed="false">
      <c r="B38" s="52" t="s">
        <v>164</v>
      </c>
      <c r="C38" s="49" t="n">
        <f aca="false">C27*Inputs!C34</f>
        <v>0</v>
      </c>
      <c r="D38" s="49" t="n">
        <f aca="false">D27*Inputs!D34</f>
        <v>105000</v>
      </c>
      <c r="E38" s="49" t="n">
        <f aca="false">E27*Inputs!E34</f>
        <v>375000</v>
      </c>
      <c r="F38" s="49" t="n">
        <f aca="false">F27*Inputs!F34</f>
        <v>840000</v>
      </c>
      <c r="G38" s="49" t="n">
        <f aca="false">G27*Inputs!G34</f>
        <v>1512000</v>
      </c>
      <c r="H38" s="50" t="n">
        <f aca="false">SUM(C38:G38)</f>
        <v>2832000</v>
      </c>
      <c r="I38" s="15" t="s">
        <v>165</v>
      </c>
    </row>
    <row r="39" customFormat="false" ht="15" hidden="false" customHeight="false" outlineLevel="0" collapsed="false">
      <c r="B39" s="27" t="s">
        <v>166</v>
      </c>
      <c r="C39" s="53" t="n">
        <f aca="false">SUM(C33:C38)</f>
        <v>99600</v>
      </c>
      <c r="D39" s="53" t="n">
        <f aca="false">SUM(D33:D38)</f>
        <v>440000</v>
      </c>
      <c r="E39" s="53" t="n">
        <f aca="false">SUM(E33:E38)</f>
        <v>985400</v>
      </c>
      <c r="F39" s="53" t="n">
        <f aca="false">SUM(F33:F38)</f>
        <v>1924000</v>
      </c>
      <c r="G39" s="53" t="n">
        <f aca="false">SUM(G33:G38)</f>
        <v>3004000</v>
      </c>
      <c r="H39" s="53" t="n">
        <f aca="false">SUM(H33:H38)</f>
        <v>6453000</v>
      </c>
      <c r="I39" s="27"/>
    </row>
    <row r="41" customFormat="false" ht="15" hidden="false" customHeight="true" outlineLevel="0" collapsed="false">
      <c r="B41" s="3" t="s">
        <v>167</v>
      </c>
      <c r="C41" s="3"/>
      <c r="D41" s="3"/>
      <c r="E41" s="3"/>
      <c r="F41" s="3"/>
      <c r="G41" s="3"/>
      <c r="H41" s="3"/>
      <c r="I41" s="3"/>
    </row>
    <row r="42" customFormat="false" ht="15" hidden="false" customHeight="false" outlineLevel="0" collapsed="false">
      <c r="B42" s="54" t="s">
        <v>168</v>
      </c>
      <c r="C42" s="54"/>
      <c r="D42" s="54"/>
      <c r="E42" s="54"/>
      <c r="F42" s="54"/>
      <c r="G42" s="54"/>
      <c r="H42" s="54"/>
      <c r="I42" s="54"/>
    </row>
    <row r="43" customFormat="false" ht="15" hidden="false" customHeight="false" outlineLevel="0" collapsed="false">
      <c r="B43" s="4"/>
      <c r="C43" s="4" t="s">
        <v>26</v>
      </c>
      <c r="D43" s="4" t="s">
        <v>27</v>
      </c>
      <c r="E43" s="4" t="s">
        <v>28</v>
      </c>
      <c r="F43" s="4" t="s">
        <v>29</v>
      </c>
      <c r="G43" s="4" t="s">
        <v>30</v>
      </c>
      <c r="H43" s="4" t="s">
        <v>157</v>
      </c>
      <c r="I43" s="4"/>
    </row>
    <row r="44" customFormat="false" ht="15" hidden="false" customHeight="false" outlineLevel="0" collapsed="false">
      <c r="B44" s="55" t="s">
        <v>169</v>
      </c>
      <c r="C44" s="48" t="n">
        <f aca="false">C39</f>
        <v>99600</v>
      </c>
      <c r="D44" s="48" t="n">
        <f aca="false">D39</f>
        <v>440000</v>
      </c>
      <c r="E44" s="48" t="n">
        <f aca="false">E39</f>
        <v>985400</v>
      </c>
      <c r="F44" s="48" t="n">
        <f aca="false">F39</f>
        <v>1924000</v>
      </c>
      <c r="G44" s="48" t="n">
        <f aca="false">G39</f>
        <v>3004000</v>
      </c>
      <c r="H44" s="19" t="n">
        <f aca="false">SUM(C44:G44)</f>
        <v>6453000</v>
      </c>
      <c r="I44" s="10"/>
    </row>
    <row r="45" customFormat="false" ht="15" hidden="false" customHeight="false" outlineLevel="0" collapsed="false">
      <c r="B45" s="12" t="s">
        <v>170</v>
      </c>
      <c r="C45" s="49" t="n">
        <f aca="false">C44*(1-Inputs!C28)</f>
        <v>77688</v>
      </c>
      <c r="D45" s="49" t="n">
        <f aca="false">D44*(1-Inputs!C28)</f>
        <v>343200</v>
      </c>
      <c r="E45" s="49" t="n">
        <f aca="false">E44*(1-Inputs!C28)</f>
        <v>768612</v>
      </c>
      <c r="F45" s="49" t="n">
        <f aca="false">F44*(1-Inputs!C28)</f>
        <v>1500720</v>
      </c>
      <c r="G45" s="49" t="n">
        <f aca="false">G44*(1-Inputs!C28)</f>
        <v>2343120</v>
      </c>
      <c r="H45" s="50" t="n">
        <f aca="false">SUM(C45:G45)</f>
        <v>5033340</v>
      </c>
      <c r="I45" s="14"/>
    </row>
    <row r="46" customFormat="false" ht="15" hidden="false" customHeight="false" outlineLevel="0" collapsed="false">
      <c r="B46" s="56" t="s">
        <v>171</v>
      </c>
      <c r="C46" s="57" t="n">
        <f aca="false">C44-C45</f>
        <v>21912</v>
      </c>
      <c r="D46" s="57" t="n">
        <f aca="false">D44-D45</f>
        <v>96800</v>
      </c>
      <c r="E46" s="57" t="n">
        <f aca="false">E44-E45</f>
        <v>216788</v>
      </c>
      <c r="F46" s="57" t="n">
        <f aca="false">F44-F45</f>
        <v>423280</v>
      </c>
      <c r="G46" s="57" t="n">
        <f aca="false">G44-G45</f>
        <v>660880</v>
      </c>
      <c r="H46" s="58" t="n">
        <f aca="false">SUM(C46:G46)</f>
        <v>1419660</v>
      </c>
      <c r="I46" s="59"/>
    </row>
    <row r="47" customFormat="false" ht="15" hidden="false" customHeight="false" outlineLevel="0" collapsed="false">
      <c r="B47" s="12" t="s">
        <v>172</v>
      </c>
      <c r="C47" s="49" t="n">
        <f aca="false">(C9+C10+C11+C12)*Inputs!C29</f>
        <v>21750</v>
      </c>
      <c r="D47" s="49" t="n">
        <f aca="false">(D9+D10+D11+D12)*Inputs!C29</f>
        <v>50250</v>
      </c>
      <c r="E47" s="49" t="n">
        <f aca="false">(E9+E10+E11+E12)*Inputs!C29</f>
        <v>76500</v>
      </c>
      <c r="F47" s="49" t="n">
        <f aca="false">(F9+F10+F11+F12)*Inputs!C29</f>
        <v>97500</v>
      </c>
      <c r="G47" s="49" t="n">
        <f aca="false">(G9+G10+G11+G12)*Inputs!C29</f>
        <v>109500</v>
      </c>
      <c r="H47" s="50" t="n">
        <f aca="false">SUM(C47:G47)</f>
        <v>355500</v>
      </c>
      <c r="I47" s="14"/>
    </row>
    <row r="48" customFormat="false" ht="15" hidden="false" customHeight="false" outlineLevel="0" collapsed="false">
      <c r="B48" s="8" t="s">
        <v>173</v>
      </c>
      <c r="C48" s="48" t="n">
        <f aca="false">C44*Inputs!C30</f>
        <v>2988</v>
      </c>
      <c r="D48" s="48" t="n">
        <f aca="false">D44*Inputs!C30</f>
        <v>13200</v>
      </c>
      <c r="E48" s="48" t="n">
        <f aca="false">E44*Inputs!C30</f>
        <v>29562</v>
      </c>
      <c r="F48" s="48" t="n">
        <f aca="false">F44*Inputs!C30</f>
        <v>57720</v>
      </c>
      <c r="G48" s="48" t="n">
        <f aca="false">G44*Inputs!C30</f>
        <v>90120</v>
      </c>
      <c r="H48" s="19" t="n">
        <f aca="false">SUM(C48:G48)</f>
        <v>193590</v>
      </c>
      <c r="I48" s="10"/>
    </row>
    <row r="49" customFormat="false" ht="15" hidden="false" customHeight="false" outlineLevel="0" collapsed="false">
      <c r="B49" s="12" t="s">
        <v>174</v>
      </c>
      <c r="C49" s="49" t="n">
        <f aca="false">Inputs!C38</f>
        <v>11000</v>
      </c>
      <c r="D49" s="49" t="n">
        <f aca="false">Inputs!D38</f>
        <v>6000</v>
      </c>
      <c r="E49" s="49" t="n">
        <f aca="false">Inputs!E38</f>
        <v>5000</v>
      </c>
      <c r="F49" s="49" t="n">
        <f aca="false">Inputs!F38</f>
        <v>4000</v>
      </c>
      <c r="G49" s="49" t="n">
        <f aca="false">Inputs!G38</f>
        <v>4000</v>
      </c>
      <c r="H49" s="50" t="n">
        <f aca="false">SUM(C49:G49)</f>
        <v>30000</v>
      </c>
      <c r="I49" s="14"/>
    </row>
    <row r="50" customFormat="false" ht="15" hidden="false" customHeight="false" outlineLevel="0" collapsed="false">
      <c r="B50" s="27" t="s">
        <v>167</v>
      </c>
      <c r="C50" s="53" t="n">
        <f aca="false">C46-C47-C48-C49</f>
        <v>-13826</v>
      </c>
      <c r="D50" s="53" t="n">
        <f aca="false">D46-D47-D48-D49</f>
        <v>27350</v>
      </c>
      <c r="E50" s="53" t="n">
        <f aca="false">E46-E47-E48-E49</f>
        <v>105726</v>
      </c>
      <c r="F50" s="53" t="n">
        <f aca="false">F46-F47-F48-F49</f>
        <v>264060</v>
      </c>
      <c r="G50" s="53" t="n">
        <f aca="false">G46-G47-G48-G49</f>
        <v>457260</v>
      </c>
      <c r="H50" s="60" t="n">
        <f aca="false">SUM(C50:G50)</f>
        <v>840570</v>
      </c>
      <c r="I50" s="27"/>
    </row>
    <row r="51" customFormat="false" ht="15" hidden="false" customHeight="false" outlineLevel="0" collapsed="false">
      <c r="B51" s="61" t="s">
        <v>175</v>
      </c>
      <c r="C51" s="62" t="n">
        <f aca="false">C50</f>
        <v>-13826</v>
      </c>
      <c r="D51" s="62" t="n">
        <f aca="false">C51+D50</f>
        <v>13524</v>
      </c>
      <c r="E51" s="62" t="n">
        <f aca="false">D51+E50</f>
        <v>119250</v>
      </c>
      <c r="F51" s="62" t="n">
        <f aca="false">E51+F50</f>
        <v>383310</v>
      </c>
      <c r="G51" s="62" t="n">
        <f aca="false">F51+G50</f>
        <v>840570</v>
      </c>
      <c r="H51" s="63" t="n">
        <f aca="false">G51</f>
        <v>840570</v>
      </c>
      <c r="I51" s="64"/>
    </row>
    <row r="52" customFormat="false" ht="15" hidden="false" customHeight="false" outlineLevel="0" collapsed="false">
      <c r="B52" s="8" t="s">
        <v>176</v>
      </c>
      <c r="C52" s="65" t="n">
        <f aca="false">IF(C44&gt;0,C50/C44,0)</f>
        <v>-0.138815261044177</v>
      </c>
      <c r="D52" s="65" t="n">
        <f aca="false">IF(D44&gt;0,D50/D44,0)</f>
        <v>0.0621590909090909</v>
      </c>
      <c r="E52" s="65" t="n">
        <f aca="false">IF(E44&gt;0,E50/E44,0)</f>
        <v>0.107292470062919</v>
      </c>
      <c r="F52" s="65" t="n">
        <f aca="false">IF(F44&gt;0,F50/F44,0)</f>
        <v>0.137245322245322</v>
      </c>
      <c r="G52" s="65" t="n">
        <f aca="false">IF(G44&gt;0,G50/G44,0)</f>
        <v>0.152217043941411</v>
      </c>
      <c r="H52" s="10"/>
      <c r="I52" s="10"/>
    </row>
    <row r="56" customFormat="false" ht="15" hidden="false" customHeight="false" outlineLevel="0" collapsed="false">
      <c r="B56" s="66" t="s">
        <v>177</v>
      </c>
      <c r="C56" s="66"/>
      <c r="D56" s="66"/>
      <c r="E56" s="66"/>
      <c r="F56" s="66"/>
      <c r="G56" s="66"/>
      <c r="H56" s="66"/>
      <c r="I56" s="66"/>
    </row>
    <row r="75" customFormat="false" ht="15" hidden="false" customHeight="false" outlineLevel="0" collapsed="false">
      <c r="B75" s="66" t="s">
        <v>178</v>
      </c>
      <c r="C75" s="66"/>
      <c r="D75" s="66"/>
      <c r="E75" s="66"/>
      <c r="F75" s="66"/>
      <c r="G75" s="66"/>
      <c r="H75" s="66"/>
      <c r="I75" s="66"/>
    </row>
    <row r="94" customFormat="false" ht="15" hidden="false" customHeight="false" outlineLevel="0" collapsed="false">
      <c r="B94" s="66" t="s">
        <v>179</v>
      </c>
      <c r="C94" s="66"/>
      <c r="D94" s="66"/>
      <c r="E94" s="66"/>
      <c r="F94" s="66"/>
      <c r="G94" s="66"/>
      <c r="H94" s="66"/>
      <c r="I94" s="66"/>
    </row>
    <row r="113" customFormat="false" ht="15" hidden="false" customHeight="false" outlineLevel="0" collapsed="false">
      <c r="B113" s="66" t="s">
        <v>180</v>
      </c>
      <c r="C113" s="66"/>
      <c r="D113" s="66"/>
      <c r="E113" s="66"/>
      <c r="F113" s="66"/>
      <c r="G113" s="66"/>
      <c r="H113" s="66"/>
      <c r="I113" s="66"/>
    </row>
    <row r="114" customFormat="false" ht="15" hidden="false" customHeight="false" outlineLevel="0" collapsed="false">
      <c r="B114" s="4" t="s">
        <v>25</v>
      </c>
      <c r="C114" s="4" t="s">
        <v>181</v>
      </c>
      <c r="D114" s="4" t="s">
        <v>182</v>
      </c>
      <c r="E114" s="4"/>
      <c r="F114" s="4"/>
      <c r="G114" s="4"/>
      <c r="H114" s="4"/>
      <c r="I114" s="4"/>
    </row>
    <row r="115" customFormat="false" ht="15" hidden="false" customHeight="false" outlineLevel="0" collapsed="false">
      <c r="B115" s="8" t="s">
        <v>183</v>
      </c>
      <c r="C115" s="65" t="n">
        <f aca="false">IF(C39&gt;0,C33/C39,0)</f>
        <v>0.417670682730924</v>
      </c>
      <c r="D115" s="65" t="n">
        <f aca="false">IF(G39&gt;0,G33/G39,0)</f>
        <v>0</v>
      </c>
      <c r="E115" s="10"/>
      <c r="F115" s="10"/>
      <c r="G115" s="10"/>
      <c r="H115" s="10"/>
      <c r="I115" s="10"/>
    </row>
    <row r="116" customFormat="false" ht="15" hidden="false" customHeight="false" outlineLevel="0" collapsed="false">
      <c r="B116" s="12" t="s">
        <v>184</v>
      </c>
      <c r="C116" s="67" t="n">
        <f aca="false">IF(C39&gt;0,C34/C39,0)</f>
        <v>0</v>
      </c>
      <c r="D116" s="67" t="n">
        <f aca="false">IF(G39&gt;0,G34/G39,0)</f>
        <v>0.179760319573901</v>
      </c>
      <c r="E116" s="14"/>
      <c r="F116" s="14"/>
      <c r="G116" s="14"/>
      <c r="H116" s="14"/>
      <c r="I116" s="14"/>
    </row>
    <row r="117" customFormat="false" ht="15" hidden="false" customHeight="false" outlineLevel="0" collapsed="false">
      <c r="B117" s="8" t="s">
        <v>185</v>
      </c>
      <c r="C117" s="65" t="n">
        <f aca="false">IF(C39&gt;0,C35/C39,0)</f>
        <v>0.401606425702811</v>
      </c>
      <c r="D117" s="65" t="n">
        <f aca="false">IF(G39&gt;0,G35/G39,0)</f>
        <v>0.14647137150466</v>
      </c>
      <c r="E117" s="10"/>
      <c r="F117" s="10"/>
      <c r="G117" s="10"/>
      <c r="H117" s="10"/>
      <c r="I117" s="10"/>
    </row>
    <row r="118" customFormat="false" ht="15" hidden="false" customHeight="false" outlineLevel="0" collapsed="false">
      <c r="B118" s="12" t="s">
        <v>186</v>
      </c>
      <c r="C118" s="67" t="n">
        <f aca="false">IF(C39&gt;0,C36/C39,0)</f>
        <v>0.180722891566265</v>
      </c>
      <c r="D118" s="67" t="n">
        <f aca="false">IF(G39&gt;0,G36/G39,0)</f>
        <v>0.0539280958721704</v>
      </c>
      <c r="E118" s="14"/>
      <c r="F118" s="14"/>
      <c r="G118" s="14"/>
      <c r="H118" s="14"/>
      <c r="I118" s="14"/>
    </row>
    <row r="119" customFormat="false" ht="15" hidden="false" customHeight="false" outlineLevel="0" collapsed="false">
      <c r="B119" s="8" t="s">
        <v>187</v>
      </c>
      <c r="C119" s="65" t="n">
        <f aca="false">IF(C39&gt;0,C37/C39,0)</f>
        <v>0</v>
      </c>
      <c r="D119" s="65" t="n">
        <f aca="false">IF(G39&gt;0,G37/G39,0)</f>
        <v>0.116511318242344</v>
      </c>
      <c r="E119" s="10"/>
      <c r="F119" s="10"/>
      <c r="G119" s="10"/>
      <c r="H119" s="10"/>
      <c r="I119" s="10"/>
    </row>
    <row r="120" customFormat="false" ht="15" hidden="false" customHeight="false" outlineLevel="0" collapsed="false">
      <c r="B120" s="12" t="s">
        <v>188</v>
      </c>
      <c r="C120" s="67" t="n">
        <f aca="false">IF(C39&gt;0,C38/C39,0)</f>
        <v>0</v>
      </c>
      <c r="D120" s="67" t="n">
        <f aca="false">IF(G39&gt;0,G38/G39,0)</f>
        <v>0.503328894806924</v>
      </c>
      <c r="E120" s="14"/>
      <c r="F120" s="14"/>
      <c r="G120" s="14"/>
      <c r="H120" s="14"/>
      <c r="I120" s="14"/>
    </row>
  </sheetData>
  <mergeCells count="14">
    <mergeCell ref="B2:I2"/>
    <mergeCell ref="B3:I3"/>
    <mergeCell ref="B5:I5"/>
    <mergeCell ref="B6:I6"/>
    <mergeCell ref="B15:I15"/>
    <mergeCell ref="B24:I24"/>
    <mergeCell ref="B25:I25"/>
    <mergeCell ref="B31:I31"/>
    <mergeCell ref="B41:I41"/>
    <mergeCell ref="B42:I42"/>
    <mergeCell ref="B56:I56"/>
    <mergeCell ref="B75:I75"/>
    <mergeCell ref="B94:I94"/>
    <mergeCell ref="B113:I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B2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6"/>
    <col collapsed="false" customWidth="true" hidden="false" outlineLevel="0" max="8" min="8" style="0" width="28"/>
  </cols>
  <sheetData>
    <row r="2" customFormat="false" ht="19.7" hidden="false" customHeight="false" outlineLevel="0" collapsed="false">
      <c r="B2" s="1" t="s">
        <v>189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190</v>
      </c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B5" s="3" t="s">
        <v>191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192</v>
      </c>
      <c r="C6" s="4" t="s">
        <v>193</v>
      </c>
      <c r="D6" s="4" t="s">
        <v>194</v>
      </c>
      <c r="E6" s="4" t="s">
        <v>195</v>
      </c>
      <c r="F6" s="4" t="s">
        <v>196</v>
      </c>
      <c r="G6" s="4" t="s">
        <v>197</v>
      </c>
      <c r="H6" s="4"/>
    </row>
    <row r="7" customFormat="false" ht="15" hidden="false" customHeight="false" outlineLevel="0" collapsed="false">
      <c r="B7" s="8" t="s">
        <v>198</v>
      </c>
      <c r="C7" s="31" t="s">
        <v>199</v>
      </c>
      <c r="D7" s="68" t="s">
        <v>200</v>
      </c>
      <c r="E7" s="31" t="s">
        <v>201</v>
      </c>
      <c r="F7" s="31" t="s">
        <v>202</v>
      </c>
      <c r="G7" s="69" t="s">
        <v>203</v>
      </c>
      <c r="H7" s="11" t="s">
        <v>204</v>
      </c>
    </row>
    <row r="8" customFormat="false" ht="15" hidden="false" customHeight="false" outlineLevel="0" collapsed="false">
      <c r="B8" s="12" t="s">
        <v>205</v>
      </c>
      <c r="C8" s="34" t="s">
        <v>206</v>
      </c>
      <c r="D8" s="70" t="s">
        <v>207</v>
      </c>
      <c r="E8" s="34" t="s">
        <v>208</v>
      </c>
      <c r="F8" s="34" t="s">
        <v>209</v>
      </c>
      <c r="G8" s="71" t="s">
        <v>210</v>
      </c>
      <c r="H8" s="15" t="s">
        <v>211</v>
      </c>
    </row>
    <row r="9" customFormat="false" ht="15" hidden="false" customHeight="false" outlineLevel="0" collapsed="false">
      <c r="B9" s="8" t="s">
        <v>212</v>
      </c>
      <c r="C9" s="31" t="s">
        <v>213</v>
      </c>
      <c r="D9" s="68" t="s">
        <v>214</v>
      </c>
      <c r="E9" s="31" t="s">
        <v>215</v>
      </c>
      <c r="F9" s="31" t="s">
        <v>216</v>
      </c>
      <c r="G9" s="33" t="s">
        <v>217</v>
      </c>
      <c r="H9" s="11" t="s">
        <v>218</v>
      </c>
    </row>
    <row r="10" customFormat="false" ht="23.85" hidden="false" customHeight="false" outlineLevel="0" collapsed="false">
      <c r="B10" s="12" t="s">
        <v>219</v>
      </c>
      <c r="C10" s="34" t="s">
        <v>220</v>
      </c>
      <c r="D10" s="70" t="s">
        <v>221</v>
      </c>
      <c r="E10" s="34" t="s">
        <v>222</v>
      </c>
      <c r="F10" s="34" t="s">
        <v>223</v>
      </c>
      <c r="G10" s="72" t="s">
        <v>224</v>
      </c>
      <c r="H10" s="15" t="s">
        <v>225</v>
      </c>
    </row>
    <row r="11" customFormat="false" ht="15" hidden="false" customHeight="false" outlineLevel="0" collapsed="false">
      <c r="B11" s="8" t="s">
        <v>226</v>
      </c>
      <c r="C11" s="31" t="s">
        <v>227</v>
      </c>
      <c r="D11" s="68" t="s">
        <v>228</v>
      </c>
      <c r="E11" s="31" t="s">
        <v>229</v>
      </c>
      <c r="F11" s="31" t="s">
        <v>230</v>
      </c>
      <c r="G11" s="33" t="s">
        <v>231</v>
      </c>
      <c r="H11" s="11" t="s">
        <v>232</v>
      </c>
    </row>
    <row r="13" customFormat="false" ht="15" hidden="false" customHeight="false" outlineLevel="0" collapsed="false">
      <c r="B13" s="73" t="s">
        <v>233</v>
      </c>
    </row>
    <row r="14" customFormat="false" ht="15" hidden="false" customHeight="false" outlineLevel="0" collapsed="false">
      <c r="B14" s="73" t="s">
        <v>234</v>
      </c>
      <c r="C14" s="73" t="n">
        <v>2100</v>
      </c>
    </row>
    <row r="15" customFormat="false" ht="15" hidden="false" customHeight="false" outlineLevel="0" collapsed="false">
      <c r="B15" s="73" t="s">
        <v>235</v>
      </c>
      <c r="C15" s="73" t="n">
        <v>85</v>
      </c>
    </row>
    <row r="16" customFormat="false" ht="15" hidden="false" customHeight="false" outlineLevel="0" collapsed="false">
      <c r="B16" s="73" t="s">
        <v>236</v>
      </c>
      <c r="C16" s="73" t="n">
        <v>179</v>
      </c>
    </row>
    <row r="17" customFormat="false" ht="15" hidden="false" customHeight="false" outlineLevel="0" collapsed="false">
      <c r="B17" s="73" t="s">
        <v>237</v>
      </c>
      <c r="C17" s="73" t="n">
        <v>135</v>
      </c>
    </row>
    <row r="18" customFormat="false" ht="15" hidden="false" customHeight="false" outlineLevel="0" collapsed="false">
      <c r="B18" s="73" t="s">
        <v>238</v>
      </c>
      <c r="C18" s="73" t="n">
        <v>55</v>
      </c>
    </row>
    <row r="34" customFormat="false" ht="15" hidden="false" customHeight="true" outlineLevel="0" collapsed="false">
      <c r="B34" s="3" t="s">
        <v>239</v>
      </c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B35" s="4" t="s">
        <v>240</v>
      </c>
      <c r="C35" s="4" t="s">
        <v>241</v>
      </c>
      <c r="D35" s="4" t="s">
        <v>46</v>
      </c>
      <c r="E35" s="4" t="s">
        <v>242</v>
      </c>
      <c r="F35" s="4" t="s">
        <v>243</v>
      </c>
      <c r="G35" s="4" t="s">
        <v>244</v>
      </c>
      <c r="H35" s="4"/>
    </row>
    <row r="36" customFormat="false" ht="23.85" hidden="false" customHeight="false" outlineLevel="0" collapsed="false">
      <c r="B36" s="74" t="s">
        <v>183</v>
      </c>
      <c r="C36" s="31" t="s">
        <v>245</v>
      </c>
      <c r="D36" s="31" t="s">
        <v>246</v>
      </c>
      <c r="E36" s="31" t="s">
        <v>247</v>
      </c>
      <c r="F36" s="31" t="s">
        <v>248</v>
      </c>
      <c r="G36" s="31" t="s">
        <v>249</v>
      </c>
      <c r="H36" s="10"/>
    </row>
    <row r="37" customFormat="false" ht="15" hidden="false" customHeight="false" outlineLevel="0" collapsed="false">
      <c r="B37" s="75" t="s">
        <v>183</v>
      </c>
      <c r="C37" s="34" t="s">
        <v>250</v>
      </c>
      <c r="D37" s="34" t="s">
        <v>251</v>
      </c>
      <c r="E37" s="34" t="s">
        <v>252</v>
      </c>
      <c r="F37" s="34" t="s">
        <v>253</v>
      </c>
      <c r="G37" s="34" t="s">
        <v>254</v>
      </c>
      <c r="H37" s="14"/>
    </row>
    <row r="38" customFormat="false" ht="15" hidden="false" customHeight="false" outlineLevel="0" collapsed="false">
      <c r="B38" s="74" t="s">
        <v>183</v>
      </c>
      <c r="C38" s="31" t="s">
        <v>255</v>
      </c>
      <c r="D38" s="31" t="s">
        <v>256</v>
      </c>
      <c r="E38" s="31" t="s">
        <v>257</v>
      </c>
      <c r="F38" s="31" t="s">
        <v>258</v>
      </c>
      <c r="G38" s="31" t="s">
        <v>259</v>
      </c>
      <c r="H38" s="10"/>
    </row>
    <row r="39" customFormat="false" ht="15" hidden="false" customHeight="false" outlineLevel="0" collapsed="false">
      <c r="B39" s="75" t="s">
        <v>183</v>
      </c>
      <c r="C39" s="34" t="s">
        <v>260</v>
      </c>
      <c r="D39" s="34" t="s">
        <v>261</v>
      </c>
      <c r="E39" s="34" t="s">
        <v>262</v>
      </c>
      <c r="F39" s="34" t="s">
        <v>263</v>
      </c>
      <c r="G39" s="34" t="s">
        <v>264</v>
      </c>
      <c r="H39" s="14"/>
    </row>
    <row r="40" customFormat="false" ht="15" hidden="false" customHeight="false" outlineLevel="0" collapsed="false">
      <c r="B40" s="76" t="s">
        <v>185</v>
      </c>
      <c r="C40" s="31" t="s">
        <v>265</v>
      </c>
      <c r="D40" s="31" t="s">
        <v>266</v>
      </c>
      <c r="E40" s="31" t="s">
        <v>267</v>
      </c>
      <c r="F40" s="31" t="s">
        <v>268</v>
      </c>
      <c r="G40" s="31" t="s">
        <v>269</v>
      </c>
      <c r="H40" s="10"/>
    </row>
    <row r="41" customFormat="false" ht="23.85" hidden="false" customHeight="false" outlineLevel="0" collapsed="false">
      <c r="B41" s="52" t="s">
        <v>185</v>
      </c>
      <c r="C41" s="34" t="s">
        <v>270</v>
      </c>
      <c r="D41" s="34" t="s">
        <v>271</v>
      </c>
      <c r="E41" s="34" t="s">
        <v>267</v>
      </c>
      <c r="F41" s="34" t="s">
        <v>272</v>
      </c>
      <c r="G41" s="34" t="s">
        <v>273</v>
      </c>
      <c r="H41" s="14"/>
    </row>
    <row r="42" customFormat="false" ht="15" hidden="false" customHeight="false" outlineLevel="0" collapsed="false">
      <c r="B42" s="77" t="s">
        <v>184</v>
      </c>
      <c r="C42" s="31" t="s">
        <v>274</v>
      </c>
      <c r="D42" s="31" t="s">
        <v>275</v>
      </c>
      <c r="E42" s="31" t="s">
        <v>276</v>
      </c>
      <c r="F42" s="31" t="s">
        <v>277</v>
      </c>
      <c r="G42" s="31" t="s">
        <v>269</v>
      </c>
      <c r="H42" s="10"/>
    </row>
    <row r="43" customFormat="false" ht="15" hidden="false" customHeight="false" outlineLevel="0" collapsed="false">
      <c r="B43" s="78" t="s">
        <v>184</v>
      </c>
      <c r="C43" s="34" t="s">
        <v>260</v>
      </c>
      <c r="D43" s="34" t="s">
        <v>278</v>
      </c>
      <c r="E43" s="34" t="s">
        <v>279</v>
      </c>
      <c r="F43" s="34" t="s">
        <v>280</v>
      </c>
      <c r="G43" s="34" t="s">
        <v>264</v>
      </c>
      <c r="H43" s="14"/>
    </row>
    <row r="44" customFormat="false" ht="23.85" hidden="false" customHeight="false" outlineLevel="0" collapsed="false">
      <c r="B44" s="79" t="s">
        <v>186</v>
      </c>
      <c r="C44" s="31" t="s">
        <v>281</v>
      </c>
      <c r="D44" s="31" t="s">
        <v>282</v>
      </c>
      <c r="E44" s="31" t="s">
        <v>283</v>
      </c>
      <c r="F44" s="31" t="s">
        <v>284</v>
      </c>
      <c r="G44" s="31" t="s">
        <v>285</v>
      </c>
      <c r="H44" s="10"/>
    </row>
    <row r="45" customFormat="false" ht="23.85" hidden="false" customHeight="false" outlineLevel="0" collapsed="false">
      <c r="B45" s="80" t="s">
        <v>186</v>
      </c>
      <c r="C45" s="34" t="s">
        <v>286</v>
      </c>
      <c r="D45" s="34" t="s">
        <v>287</v>
      </c>
      <c r="E45" s="34" t="s">
        <v>288</v>
      </c>
      <c r="F45" s="34" t="s">
        <v>289</v>
      </c>
      <c r="G45" s="34" t="s">
        <v>285</v>
      </c>
      <c r="H45" s="14"/>
    </row>
    <row r="46" customFormat="false" ht="23.85" hidden="false" customHeight="false" outlineLevel="0" collapsed="false">
      <c r="B46" s="81" t="s">
        <v>187</v>
      </c>
      <c r="C46" s="31" t="s">
        <v>290</v>
      </c>
      <c r="D46" s="31" t="s">
        <v>291</v>
      </c>
      <c r="E46" s="31" t="s">
        <v>292</v>
      </c>
      <c r="F46" s="31" t="s">
        <v>293</v>
      </c>
      <c r="G46" s="31" t="s">
        <v>294</v>
      </c>
      <c r="H46" s="10"/>
    </row>
    <row r="48" customFormat="false" ht="15" hidden="false" customHeight="true" outlineLevel="0" collapsed="false">
      <c r="B48" s="3" t="s">
        <v>295</v>
      </c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B49" s="4" t="s">
        <v>296</v>
      </c>
      <c r="C49" s="4" t="s">
        <v>297</v>
      </c>
      <c r="D49" s="4" t="s">
        <v>298</v>
      </c>
      <c r="E49" s="4" t="s">
        <v>299</v>
      </c>
      <c r="F49" s="4" t="s">
        <v>300</v>
      </c>
      <c r="G49" s="4"/>
      <c r="H49" s="4"/>
    </row>
    <row r="50" customFormat="false" ht="15" hidden="false" customHeight="false" outlineLevel="0" collapsed="false">
      <c r="B50" s="8" t="s">
        <v>301</v>
      </c>
      <c r="C50" s="82" t="n">
        <v>55000000</v>
      </c>
      <c r="D50" s="82" t="n">
        <v>412000</v>
      </c>
      <c r="E50" s="48" t="n">
        <f aca="false">C50-D50</f>
        <v>54588000</v>
      </c>
      <c r="F50" s="33" t="s">
        <v>302</v>
      </c>
      <c r="G50" s="10"/>
      <c r="H50" s="10"/>
    </row>
    <row r="51" customFormat="false" ht="15" hidden="false" customHeight="false" outlineLevel="0" collapsed="false">
      <c r="B51" s="12" t="s">
        <v>303</v>
      </c>
      <c r="C51" s="83" t="n">
        <v>38000000</v>
      </c>
      <c r="D51" s="83" t="n">
        <v>2100000</v>
      </c>
      <c r="E51" s="49" t="n">
        <f aca="false">C51-D51</f>
        <v>35900000</v>
      </c>
      <c r="F51" s="35" t="s">
        <v>304</v>
      </c>
      <c r="G51" s="14"/>
      <c r="H51" s="14"/>
    </row>
    <row r="52" customFormat="false" ht="15" hidden="false" customHeight="false" outlineLevel="0" collapsed="false">
      <c r="B52" s="8" t="s">
        <v>305</v>
      </c>
      <c r="C52" s="82" t="n">
        <v>31000000</v>
      </c>
      <c r="D52" s="82" t="n">
        <v>950000</v>
      </c>
      <c r="E52" s="48" t="n">
        <f aca="false">C52-D52</f>
        <v>30050000</v>
      </c>
      <c r="F52" s="32" t="s">
        <v>306</v>
      </c>
      <c r="G52" s="10"/>
      <c r="H52" s="10"/>
    </row>
    <row r="53" customFormat="false" ht="15" hidden="false" customHeight="false" outlineLevel="0" collapsed="false">
      <c r="B53" s="12" t="s">
        <v>307</v>
      </c>
      <c r="C53" s="83" t="n">
        <v>22000000</v>
      </c>
      <c r="D53" s="83" t="n">
        <v>1800000</v>
      </c>
      <c r="E53" s="49" t="n">
        <f aca="false">C53-D53</f>
        <v>20200000</v>
      </c>
      <c r="F53" s="35" t="s">
        <v>308</v>
      </c>
      <c r="G53" s="14"/>
      <c r="H53" s="14"/>
    </row>
    <row r="70" customFormat="false" ht="15" hidden="false" customHeight="true" outlineLevel="0" collapsed="false">
      <c r="B70" s="3" t="s">
        <v>309</v>
      </c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B71" s="4" t="s">
        <v>310</v>
      </c>
      <c r="C71" s="4" t="s">
        <v>311</v>
      </c>
      <c r="D71" s="4" t="s">
        <v>312</v>
      </c>
      <c r="E71" s="4" t="s">
        <v>313</v>
      </c>
      <c r="F71" s="4" t="s">
        <v>314</v>
      </c>
      <c r="G71" s="4" t="s">
        <v>315</v>
      </c>
      <c r="H71" s="4"/>
    </row>
    <row r="72" customFormat="false" ht="15" hidden="false" customHeight="false" outlineLevel="0" collapsed="false">
      <c r="B72" s="8" t="s">
        <v>316</v>
      </c>
      <c r="C72" s="31" t="s">
        <v>317</v>
      </c>
      <c r="D72" s="31" t="s">
        <v>318</v>
      </c>
      <c r="E72" s="31" t="s">
        <v>319</v>
      </c>
      <c r="F72" s="31" t="s">
        <v>320</v>
      </c>
      <c r="G72" s="33" t="s">
        <v>321</v>
      </c>
      <c r="H72" s="10"/>
    </row>
    <row r="73" customFormat="false" ht="15" hidden="false" customHeight="false" outlineLevel="0" collapsed="false">
      <c r="B73" s="12" t="s">
        <v>322</v>
      </c>
      <c r="C73" s="34" t="s">
        <v>323</v>
      </c>
      <c r="D73" s="34" t="s">
        <v>324</v>
      </c>
      <c r="E73" s="34" t="s">
        <v>325</v>
      </c>
      <c r="F73" s="34" t="s">
        <v>326</v>
      </c>
      <c r="G73" s="36" t="s">
        <v>321</v>
      </c>
      <c r="H73" s="14"/>
    </row>
    <row r="74" customFormat="false" ht="15" hidden="false" customHeight="false" outlineLevel="0" collapsed="false">
      <c r="B74" s="8" t="s">
        <v>327</v>
      </c>
      <c r="C74" s="31" t="s">
        <v>328</v>
      </c>
      <c r="D74" s="31" t="s">
        <v>329</v>
      </c>
      <c r="E74" s="31" t="s">
        <v>330</v>
      </c>
      <c r="F74" s="31" t="s">
        <v>331</v>
      </c>
      <c r="G74" s="69" t="s">
        <v>332</v>
      </c>
      <c r="H74" s="10"/>
    </row>
    <row r="75" customFormat="false" ht="15" hidden="false" customHeight="false" outlineLevel="0" collapsed="false">
      <c r="B75" s="12" t="s">
        <v>333</v>
      </c>
      <c r="C75" s="34" t="s">
        <v>334</v>
      </c>
      <c r="D75" s="34" t="s">
        <v>335</v>
      </c>
      <c r="E75" s="34" t="s">
        <v>336</v>
      </c>
      <c r="F75" s="34" t="s">
        <v>337</v>
      </c>
      <c r="G75" s="36" t="s">
        <v>321</v>
      </c>
      <c r="H75" s="14"/>
    </row>
    <row r="76" customFormat="false" ht="15" hidden="false" customHeight="false" outlineLevel="0" collapsed="false">
      <c r="B76" s="8" t="s">
        <v>338</v>
      </c>
      <c r="C76" s="31" t="s">
        <v>339</v>
      </c>
      <c r="D76" s="31" t="s">
        <v>340</v>
      </c>
      <c r="E76" s="31" t="s">
        <v>341</v>
      </c>
      <c r="F76" s="31" t="s">
        <v>342</v>
      </c>
      <c r="G76" s="84" t="s">
        <v>343</v>
      </c>
      <c r="H76" s="10"/>
    </row>
    <row r="78" customFormat="false" ht="15" hidden="false" customHeight="false" outlineLevel="0" collapsed="false">
      <c r="B78" s="85" t="s">
        <v>344</v>
      </c>
      <c r="C78" s="85"/>
      <c r="D78" s="85"/>
      <c r="E78" s="85"/>
      <c r="F78" s="85"/>
      <c r="G78" s="85"/>
      <c r="H78" s="85"/>
    </row>
  </sheetData>
  <mergeCells count="7">
    <mergeCell ref="B2:H2"/>
    <mergeCell ref="B3:H3"/>
    <mergeCell ref="B5:H5"/>
    <mergeCell ref="B34:H34"/>
    <mergeCell ref="B48:H48"/>
    <mergeCell ref="B70:H70"/>
    <mergeCell ref="B78:H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5" min="4" style="0" width="32"/>
  </cols>
  <sheetData>
    <row r="2" customFormat="false" ht="19.7" hidden="false" customHeight="false" outlineLevel="0" collapsed="false">
      <c r="B2" s="1" t="s">
        <v>345</v>
      </c>
      <c r="C2" s="1"/>
      <c r="D2" s="1"/>
      <c r="E2" s="1"/>
    </row>
    <row r="3" customFormat="false" ht="15" hidden="false" customHeight="false" outlineLevel="0" collapsed="false">
      <c r="B3" s="2" t="s">
        <v>346</v>
      </c>
      <c r="C3" s="2"/>
      <c r="D3" s="2"/>
      <c r="E3" s="2"/>
    </row>
    <row r="5" customFormat="false" ht="15" hidden="false" customHeight="true" outlineLevel="0" collapsed="false">
      <c r="B5" s="3" t="s">
        <v>347</v>
      </c>
      <c r="C5" s="3"/>
      <c r="D5" s="3"/>
      <c r="E5" s="3"/>
    </row>
    <row r="6" customFormat="false" ht="15" hidden="false" customHeight="false" outlineLevel="0" collapsed="false">
      <c r="B6" s="4" t="s">
        <v>300</v>
      </c>
      <c r="C6" s="4" t="s">
        <v>348</v>
      </c>
      <c r="D6" s="4" t="s">
        <v>349</v>
      </c>
      <c r="E6" s="4" t="s">
        <v>350</v>
      </c>
    </row>
    <row r="7" customFormat="false" ht="39.75" hidden="false" customHeight="true" outlineLevel="0" collapsed="false">
      <c r="B7" s="86" t="s">
        <v>351</v>
      </c>
      <c r="C7" s="8" t="s">
        <v>352</v>
      </c>
      <c r="D7" s="87" t="s">
        <v>353</v>
      </c>
      <c r="E7" s="88" t="s">
        <v>354</v>
      </c>
    </row>
    <row r="8" customFormat="false" ht="39.75" hidden="false" customHeight="true" outlineLevel="0" collapsed="false">
      <c r="B8" s="89" t="s">
        <v>355</v>
      </c>
      <c r="C8" s="12" t="s">
        <v>356</v>
      </c>
      <c r="D8" s="90" t="s">
        <v>357</v>
      </c>
      <c r="E8" s="91" t="s">
        <v>358</v>
      </c>
    </row>
    <row r="9" customFormat="false" ht="39.75" hidden="false" customHeight="true" outlineLevel="0" collapsed="false">
      <c r="B9" s="92" t="s">
        <v>359</v>
      </c>
      <c r="C9" s="8" t="s">
        <v>360</v>
      </c>
      <c r="D9" s="87" t="s">
        <v>361</v>
      </c>
      <c r="E9" s="88" t="s">
        <v>362</v>
      </c>
    </row>
    <row r="10" customFormat="false" ht="39.75" hidden="false" customHeight="true" outlineLevel="0" collapsed="false">
      <c r="B10" s="93" t="s">
        <v>363</v>
      </c>
      <c r="C10" s="12" t="s">
        <v>364</v>
      </c>
      <c r="D10" s="90" t="s">
        <v>365</v>
      </c>
      <c r="E10" s="91" t="s">
        <v>366</v>
      </c>
    </row>
    <row r="11" customFormat="false" ht="39.75" hidden="false" customHeight="true" outlineLevel="0" collapsed="false">
      <c r="B11" s="92" t="s">
        <v>367</v>
      </c>
      <c r="C11" s="8" t="s">
        <v>368</v>
      </c>
      <c r="D11" s="87" t="s">
        <v>369</v>
      </c>
      <c r="E11" s="88" t="s">
        <v>370</v>
      </c>
    </row>
    <row r="12" customFormat="false" ht="39.75" hidden="false" customHeight="true" outlineLevel="0" collapsed="false">
      <c r="B12" s="94" t="s">
        <v>371</v>
      </c>
      <c r="C12" s="12" t="s">
        <v>372</v>
      </c>
      <c r="D12" s="90" t="s">
        <v>373</v>
      </c>
      <c r="E12" s="91" t="s">
        <v>374</v>
      </c>
    </row>
    <row r="13" customFormat="false" ht="39.75" hidden="false" customHeight="true" outlineLevel="0" collapsed="false">
      <c r="B13" s="95" t="s">
        <v>375</v>
      </c>
      <c r="C13" s="8" t="s">
        <v>376</v>
      </c>
      <c r="D13" s="87" t="s">
        <v>377</v>
      </c>
      <c r="E13" s="88" t="s">
        <v>378</v>
      </c>
    </row>
    <row r="14" customFormat="false" ht="39.75" hidden="false" customHeight="true" outlineLevel="0" collapsed="false">
      <c r="B14" s="94" t="s">
        <v>379</v>
      </c>
      <c r="C14" s="12" t="s">
        <v>380</v>
      </c>
      <c r="D14" s="90" t="s">
        <v>381</v>
      </c>
      <c r="E14" s="91" t="s">
        <v>382</v>
      </c>
    </row>
    <row r="15" customFormat="false" ht="39.75" hidden="false" customHeight="true" outlineLevel="0" collapsed="false">
      <c r="B15" s="96" t="s">
        <v>383</v>
      </c>
      <c r="C15" s="8" t="s">
        <v>384</v>
      </c>
      <c r="D15" s="87" t="s">
        <v>385</v>
      </c>
      <c r="E15" s="88" t="s">
        <v>386</v>
      </c>
    </row>
    <row r="16" customFormat="false" ht="39.75" hidden="false" customHeight="true" outlineLevel="0" collapsed="false">
      <c r="B16" s="97" t="s">
        <v>387</v>
      </c>
      <c r="C16" s="12" t="s">
        <v>388</v>
      </c>
      <c r="D16" s="90" t="s">
        <v>389</v>
      </c>
      <c r="E16" s="91" t="s">
        <v>390</v>
      </c>
    </row>
  </sheetData>
  <mergeCells count="3">
    <mergeCell ref="B2:E2"/>
    <mergeCell ref="B3:E3"/>
    <mergeCell ref="B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2026-02-23T02:29:04Z</dcterms:created>
  <dc:creator>openpyxl</dc:creator>
  <dc:description/>
  <dc:language>en-US</dc:language>
  <cp:lastModifiedBy/>
  <dcterms:modified xsi:type="dcterms:W3CDTF">2026-02-23T02:29:11Z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