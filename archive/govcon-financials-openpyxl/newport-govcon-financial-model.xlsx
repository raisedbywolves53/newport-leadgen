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Two Routes" sheetId="2" state="visible" r:id="rId2"/>
    <sheet xmlns:r="http://schemas.openxmlformats.org/officeDocument/2006/relationships" name="5-Year Model" sheetId="3" state="visible" r:id="rId3"/>
    <sheet xmlns:r="http://schemas.openxmlformats.org/officeDocument/2006/relationships" name="Market Analysis" sheetId="4" state="visible" r:id="rId4"/>
    <sheet xmlns:r="http://schemas.openxmlformats.org/officeDocument/2006/relationships" name="Key Ques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;&quot;($&quot;#,##0);-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color rgb="00404040"/>
      <sz val="11"/>
    </font>
    <font>
      <name val="Calibri"/>
      <i val="1"/>
      <color rgb="00808080"/>
      <sz val="10"/>
    </font>
    <font>
      <name val="Calibri"/>
      <b val="1"/>
      <color rgb="00404040"/>
      <sz val="11"/>
    </font>
    <font>
      <name val="Calibri"/>
      <color rgb="000000FF"/>
      <sz val="11"/>
    </font>
    <font>
      <name val="Calibri"/>
      <color rgb="00548235"/>
      <sz val="11"/>
    </font>
    <font>
      <name val="Calibri"/>
      <color rgb="002E5090"/>
      <sz val="11"/>
    </font>
    <font>
      <name val="Calibri"/>
      <b val="1"/>
      <color rgb="00548235"/>
      <sz val="11"/>
    </font>
    <font>
      <name val="Calibri"/>
      <b val="1"/>
      <color rgb="002E5090"/>
      <sz val="11"/>
    </font>
    <font>
      <name val="Calibri"/>
      <b val="1"/>
      <color rgb="00ED7D31"/>
      <sz val="11"/>
    </font>
    <font>
      <name val="Calibri"/>
      <color rgb="00000000"/>
      <sz val="11"/>
    </font>
    <font>
      <name val="Calibri"/>
      <b val="1"/>
      <color rgb="00C00000"/>
      <sz val="11"/>
    </font>
    <font>
      <name val="Calibri"/>
      <color rgb="00C00000"/>
      <sz val="11"/>
    </font>
    <font>
      <name val="Calibri"/>
      <color rgb="00ED7D31"/>
      <sz val="11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09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0" fillId="4" borderId="1" pivotButton="0" quotePrefix="0" xfId="0"/>
    <xf numFmtId="165" fontId="7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4" fillId="4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center" wrapText="1"/>
    </xf>
    <xf numFmtId="0" fontId="11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5" fillId="0" borderId="1" pivotButton="0" quotePrefix="0" xfId="0"/>
    <xf numFmtId="0" fontId="12" fillId="0" borderId="1" pivotButton="0" quotePrefix="0" xfId="0"/>
    <xf numFmtId="3" fontId="7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3" fontId="13" fillId="0" borderId="1" applyAlignment="1" pivotButton="0" quotePrefix="0" xfId="0">
      <alignment horizontal="center" vertical="center" wrapText="1"/>
    </xf>
    <xf numFmtId="165" fontId="13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13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5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13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15" fillId="5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15" fillId="4" borderId="1" applyAlignment="1" pivotButton="0" quotePrefix="0" xfId="0">
      <alignment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Source - Renewals Compound Each Year</a:t>
            </a:r>
          </a:p>
        </rich>
      </tx>
    </title>
    <plotArea>
      <barChart>
        <barDir val="col"/>
        <grouping val="stacked"/>
        <ser>
          <idx val="0"/>
          <order val="0"/>
          <tx>
            <v>Micro Wins (new)</v>
          </tx>
          <spPr>
            <a:ln xmlns:a="http://schemas.openxmlformats.org/drawingml/2006/main">
              <a:prstDash val="solid"/>
            </a:ln>
          </spPr>
          <cat>
            <numRef>
              <f>'5-Year Model'!$C$32:$G$32</f>
            </numRef>
          </cat>
          <val>
            <numRef>
              <f>'5-Year Model'!$C$33:$G$33</f>
            </numRef>
          </val>
        </ser>
        <ser>
          <idx val="1"/>
          <order val="1"/>
          <tx>
            <v>Simplified Wins (new)</v>
          </tx>
          <spPr>
            <a:ln xmlns:a="http://schemas.openxmlformats.org/drawingml/2006/main">
              <a:prstDash val="solid"/>
            </a:ln>
          </spPr>
          <cat>
            <numRef>
              <f>'5-Year Model'!$C$32:$G$32</f>
            </numRef>
          </cat>
          <val>
            <numRef>
              <f>'5-Year Model'!$C$34:$G$34</f>
            </numRef>
          </val>
        </ser>
        <ser>
          <idx val="2"/>
          <order val="2"/>
          <tx>
            <v>Set-Aside Wins (new)</v>
          </tx>
          <spPr>
            <a:ln xmlns:a="http://schemas.openxmlformats.org/drawingml/2006/main">
              <a:prstDash val="solid"/>
            </a:ln>
          </spPr>
          <cat>
            <numRef>
              <f>'5-Year Model'!$C$32:$G$32</f>
            </numRef>
          </cat>
          <val>
            <numRef>
              <f>'5-Year Model'!$C$35:$G$35</f>
            </numRef>
          </val>
        </ser>
        <ser>
          <idx val="3"/>
          <order val="3"/>
          <tx>
            <v>SLED Wins (new)</v>
          </tx>
          <spPr>
            <a:ln xmlns:a="http://schemas.openxmlformats.org/drawingml/2006/main">
              <a:prstDash val="solid"/>
            </a:ln>
          </spPr>
          <cat>
            <numRef>
              <f>'5-Year Model'!$C$32:$G$32</f>
            </numRef>
          </cat>
          <val>
            <numRef>
              <f>'5-Year Model'!$C$36:$G$36</f>
            </numRef>
          </val>
        </ser>
        <ser>
          <idx val="4"/>
          <order val="4"/>
          <tx>
            <v>Sealed Bid Wins (new)</v>
          </tx>
          <spPr>
            <a:ln xmlns:a="http://schemas.openxmlformats.org/drawingml/2006/main">
              <a:prstDash val="solid"/>
            </a:ln>
          </spPr>
          <cat>
            <numRef>
              <f>'5-Year Model'!$C$32:$G$32</f>
            </numRef>
          </cat>
          <val>
            <numRef>
              <f>'5-Year Model'!$C$37:$G$37</f>
            </numRef>
          </val>
        </ser>
        <ser>
          <idx val="5"/>
          <order val="5"/>
          <tx>
            <v>Renewal Revenue (recurring)</v>
          </tx>
          <spPr>
            <a:ln xmlns:a="http://schemas.openxmlformats.org/drawingml/2006/main">
              <a:prstDash val="solid"/>
            </a:ln>
          </spPr>
          <cat>
            <numRef>
              <f>'5-Year Model'!$C$32:$G$32</f>
            </numRef>
          </cat>
          <val>
            <numRef>
              <f>'5-Year Model'!$C$38:$G$38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 Earnings: Annual (blue) + Cumulative (gold)</a:t>
            </a:r>
          </a:p>
        </rich>
      </tx>
    </title>
    <plotArea>
      <barChart>
        <barDir val="col"/>
        <grouping val="clustered"/>
        <ser>
          <idx val="0"/>
          <order val="0"/>
          <tx>
            <v>Annual OE</v>
          </tx>
          <spPr>
            <a:ln xmlns:a="http://schemas.openxmlformats.org/drawingml/2006/main">
              <a:prstDash val="solid"/>
            </a:ln>
          </spPr>
          <cat>
            <numRef>
              <f>'5-Year Model'!$C$43:$G$43</f>
            </numRef>
          </cat>
          <val>
            <numRef>
              <f>'5-Year Model'!$C$50:$G$50</f>
            </numRef>
          </val>
        </ser>
        <ser>
          <idx val="1"/>
          <order val="1"/>
          <tx>
            <v>Cumulative OE</v>
          </tx>
          <spPr>
            <a:ln xmlns:a="http://schemas.openxmlformats.org/drawingml/2006/main">
              <a:prstDash val="solid"/>
            </a:ln>
          </spPr>
          <cat>
            <numRef>
              <f>'5-Year Model'!$C$43:$G$43</f>
            </numRef>
          </cat>
          <val>
            <numRef>
              <f>'5-Year Model'!$C$51:$G$51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Renewals (gold) Stack on New Wins (blue) Every Year</a:t>
            </a:r>
          </a:p>
        </rich>
      </tx>
    </title>
    <plotArea>
      <barChart>
        <barDir val="col"/>
        <grouping val="stacked"/>
        <ser>
          <idx val="0"/>
          <order val="0"/>
          <tx>
            <v>Renewed</v>
          </tx>
          <spPr>
            <a:ln xmlns:a="http://schemas.openxmlformats.org/drawingml/2006/main">
              <a:prstDash val="solid"/>
            </a:ln>
          </spPr>
          <cat>
            <numRef>
              <f>'5-Year Model'!$C$26:$G$26</f>
            </numRef>
          </cat>
          <val>
            <numRef>
              <f>'5-Year Model'!$C$27:$G$27</f>
            </numRef>
          </val>
        </ser>
        <ser>
          <idx val="1"/>
          <order val="1"/>
          <tx>
            <v>New Wins</v>
          </tx>
          <spPr>
            <a:ln xmlns:a="http://schemas.openxmlformats.org/drawingml/2006/main">
              <a:prstDash val="solid"/>
            </a:ln>
          </spPr>
          <cat>
            <numRef>
              <f>'5-Year Model'!$C$26:$G$26</f>
            </numRef>
          </cat>
          <val>
            <numRef>
              <f>'5-Year Model'!$C$28:$G$28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 1: Credibility Phase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'5-Year Model'!$B$115:$B$120</f>
            </numRef>
          </cat>
          <val>
            <numRef>
              <f>'5-Year Model'!$C$115:$C$120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 5: Diversified, Micro Gone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'5-Year Model'!$B$115:$B$120</f>
            </numRef>
          </cat>
          <val>
            <numRef>
              <f>'5-Year Model'!$D$115:$D$120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Market Waterfall ($M Annual)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'Market Analysis'!$B$14:$B$18</f>
            </numRef>
          </cat>
          <val>
            <numRef>
              <f>'Market Analysis'!$C$14:$C$18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National TAM vs FL Competition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v>National TAM</v>
          </tx>
          <spPr>
            <a:ln xmlns:a="http://schemas.openxmlformats.org/drawingml/2006/main">
              <a:prstDash val="solid"/>
            </a:ln>
          </spPr>
          <cat>
            <numRef>
              <f>'Market Analysis'!$B$50:$B$53</f>
            </numRef>
          </cat>
          <val>
            <numRef>
              <f>'Market Analysis'!$C$50:$C$53</f>
            </numRef>
          </val>
        </ser>
        <ser>
          <idx val="1"/>
          <order val="1"/>
          <tx>
            <v>FL Competition</v>
          </tx>
          <spPr>
            <a:ln xmlns:a="http://schemas.openxmlformats.org/drawingml/2006/main">
              <a:prstDash val="solid"/>
            </a:ln>
          </spPr>
          <cat>
            <numRef>
              <f>'Market Analysis'!$B$50:$B$53</f>
            </numRef>
          </cat>
          <val>
            <numRef>
              <f>'Market Analysis'!$D$50:$D$53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54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71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88</row>
      <rowOff>0</rowOff>
    </from>
    <ext cx="72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113</row>
      <rowOff>0</rowOff>
    </from>
    <ext cx="50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125</row>
      <rowOff>0</rowOff>
    </from>
    <ext cx="504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5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54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8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2" customWidth="1" min="9" max="9"/>
  </cols>
  <sheetData>
    <row r="2" ht="20" customHeight="1">
      <c r="B2" s="1" t="inlineStr">
        <is>
          <t>Newport Wholesalers — GovCon Financial Model</t>
        </is>
      </c>
      <c r="C2" s="2" t="n"/>
      <c r="D2" s="2" t="n"/>
      <c r="E2" s="2" t="n"/>
      <c r="F2" s="2" t="n"/>
      <c r="G2" s="2" t="n"/>
      <c r="H2" s="3" t="n"/>
    </row>
    <row r="3">
      <c r="B3" s="4" t="inlineStr">
        <is>
          <t>5-Year Projection | February 2026</t>
        </is>
      </c>
      <c r="C3" s="2" t="n"/>
      <c r="D3" s="2" t="n"/>
      <c r="E3" s="2" t="n"/>
      <c r="F3" s="2" t="n"/>
      <c r="G3" s="2" t="n"/>
      <c r="H3" s="3" t="n"/>
    </row>
    <row r="5">
      <c r="B5" s="5" t="inlineStr">
        <is>
          <t>NEWPORT INPUTS</t>
        </is>
      </c>
      <c r="C5" s="2" t="n"/>
      <c r="D5" s="2" t="n"/>
      <c r="E5" s="2" t="n"/>
      <c r="F5" s="2" t="n"/>
      <c r="G5" s="2" t="n"/>
      <c r="H5" s="2" t="n"/>
      <c r="I5" s="3" t="n"/>
    </row>
    <row r="7">
      <c r="B7" s="6" t="inlineStr">
        <is>
          <t>Current Annual Revenue</t>
        </is>
      </c>
      <c r="C7" s="7" t="n"/>
      <c r="D7" s="2" t="n"/>
      <c r="E7" s="2" t="n"/>
      <c r="F7" s="2" t="n"/>
      <c r="G7" s="2" t="n"/>
      <c r="H7" s="3" t="n"/>
      <c r="I7" s="8" t="inlineStr">
        <is>
          <t>Scale of gov entry relative to core business</t>
        </is>
      </c>
    </row>
    <row r="8">
      <c r="B8" s="6" t="inlineStr">
        <is>
          <t>Current Gross Margin (%)</t>
        </is>
      </c>
      <c r="C8" s="7" t="n"/>
      <c r="D8" s="2" t="n"/>
      <c r="E8" s="2" t="n"/>
      <c r="F8" s="2" t="n"/>
      <c r="G8" s="2" t="n"/>
      <c r="H8" s="3" t="n"/>
      <c r="I8" s="8" t="inlineStr">
        <is>
          <t>Baseline for government pricing strategy</t>
        </is>
      </c>
    </row>
    <row r="9">
      <c r="B9" s="6" t="inlineStr">
        <is>
          <t>Delivery Radius (miles from FL warehouse)</t>
        </is>
      </c>
      <c r="C9" s="7" t="n"/>
      <c r="D9" s="2" t="n"/>
      <c r="E9" s="2" t="n"/>
      <c r="F9" s="2" t="n"/>
      <c r="G9" s="2" t="n"/>
      <c r="H9" s="3" t="n"/>
      <c r="I9" s="8" t="inlineStr">
        <is>
          <t>FL only = $85M TAM. SE region = $179M TAM</t>
        </is>
      </c>
    </row>
    <row r="10">
      <c r="B10" s="6" t="inlineStr">
        <is>
          <t>Refrigerated/Temp-Controlled Delivery? (Y/N)</t>
        </is>
      </c>
      <c r="C10" s="7" t="n"/>
      <c r="D10" s="2" t="n"/>
      <c r="E10" s="2" t="n"/>
      <c r="F10" s="2" t="n"/>
      <c r="G10" s="2" t="n"/>
      <c r="H10" s="3" t="n"/>
      <c r="I10" s="8" t="inlineStr">
        <is>
          <t>Opens or closes entire product categories</t>
        </is>
      </c>
    </row>
    <row r="11">
      <c r="B11" s="6" t="inlineStr">
        <is>
          <t># of Confectionery/Snack/Nut SKUs</t>
        </is>
      </c>
      <c r="C11" s="7" t="n"/>
      <c r="D11" s="2" t="n"/>
      <c r="E11" s="2" t="n"/>
      <c r="F11" s="2" t="n"/>
      <c r="G11" s="2" t="n"/>
      <c r="H11" s="3" t="n"/>
      <c r="I11" s="8" t="inlineStr">
        <is>
          <t>More SKUs = eligible for more bid opportunities</t>
        </is>
      </c>
    </row>
    <row r="12">
      <c r="B12" s="6" t="inlineStr">
        <is>
          <t>Food Safety Certifications? (SQF/GFSI/FDA)</t>
        </is>
      </c>
      <c r="C12" s="7" t="n"/>
      <c r="D12" s="2" t="n"/>
      <c r="E12" s="2" t="n"/>
      <c r="F12" s="2" t="n"/>
      <c r="G12" s="2" t="n"/>
      <c r="H12" s="3" t="n"/>
      <c r="I12" s="8" t="inlineStr">
        <is>
          <t>$0 if certified. Up to $23.5K if not</t>
        </is>
      </c>
    </row>
    <row r="13">
      <c r="B13" s="6" t="inlineStr">
        <is>
          <t>SDB/HUBZone/8(a) Eligible? (Y/N)</t>
        </is>
      </c>
      <c r="C13" s="7" t="n"/>
      <c r="D13" s="2" t="n"/>
      <c r="E13" s="2" t="n"/>
      <c r="F13" s="2" t="n"/>
      <c r="G13" s="2" t="n"/>
      <c r="H13" s="3" t="n"/>
      <c r="I13" s="8" t="inlineStr">
        <is>
          <t>Set-aside win rates 28% vs 8% open competition</t>
        </is>
      </c>
    </row>
    <row r="14">
      <c r="B14" s="6" t="inlineStr">
        <is>
          <t>Min Profitable Order Size ($)</t>
        </is>
      </c>
      <c r="C14" s="7" t="n"/>
      <c r="D14" s="2" t="n"/>
      <c r="E14" s="2" t="n"/>
      <c r="F14" s="2" t="n"/>
      <c r="G14" s="2" t="n"/>
      <c r="H14" s="3" t="n"/>
      <c r="I14" s="8" t="inlineStr">
        <is>
          <t>Must be below $5,200 avg micro-purchase threshold</t>
        </is>
      </c>
    </row>
    <row r="15">
      <c r="B15" s="6" t="inlineStr">
        <is>
          <t>Any Prior Gov Contract Experience?</t>
        </is>
      </c>
      <c r="C15" s="7" t="n"/>
      <c r="D15" s="2" t="n"/>
      <c r="E15" s="2" t="n"/>
      <c r="F15" s="2" t="n"/>
      <c r="G15" s="2" t="n"/>
      <c r="H15" s="3" t="n"/>
      <c r="I15" s="8" t="inlineStr">
        <is>
          <t>Past performance is the #1 evaluation factor</t>
        </is>
      </c>
    </row>
    <row r="17">
      <c r="B17" s="5" t="inlineStr">
        <is>
          <t>WIN RATE ASSUMPTIONS</t>
        </is>
      </c>
      <c r="C17" s="2" t="n"/>
      <c r="D17" s="2" t="n"/>
      <c r="E17" s="2" t="n"/>
      <c r="F17" s="2" t="n"/>
      <c r="G17" s="2" t="n"/>
      <c r="H17" s="2" t="n"/>
      <c r="I17" s="3" t="n"/>
    </row>
    <row r="18">
      <c r="B18" s="9" t="inlineStr">
        <is>
          <t>Tier</t>
        </is>
      </c>
      <c r="C18" s="9" t="inlineStr">
        <is>
          <t>Yr 1</t>
        </is>
      </c>
      <c r="D18" s="9" t="inlineStr">
        <is>
          <t>Yr 2</t>
        </is>
      </c>
      <c r="E18" s="9" t="inlineStr">
        <is>
          <t>Yr 3</t>
        </is>
      </c>
      <c r="F18" s="9" t="inlineStr">
        <is>
          <t>Yr 4</t>
        </is>
      </c>
      <c r="G18" s="9" t="inlineStr">
        <is>
          <t>Yr 5</t>
        </is>
      </c>
      <c r="H18" s="9" t="inlineStr"/>
      <c r="I18" s="9" t="inlineStr">
        <is>
          <t>Notes</t>
        </is>
      </c>
    </row>
    <row r="19">
      <c r="B19" s="6" t="inlineStr">
        <is>
          <t>Micro (&lt;$15K)</t>
        </is>
      </c>
      <c r="C19" s="10" t="n">
        <v>0.15</v>
      </c>
      <c r="D19" s="10" t="n">
        <v>0.2</v>
      </c>
      <c r="E19" s="10" t="n">
        <v>0.22</v>
      </c>
      <c r="F19" s="10" t="n">
        <v>0.25</v>
      </c>
      <c r="G19" s="10" t="n">
        <v>0.25</v>
      </c>
      <c r="I19" s="8" t="inlineStr">
        <is>
          <t>GPC credit card - low barrier, high volume</t>
        </is>
      </c>
    </row>
    <row r="20">
      <c r="B20" s="6" t="inlineStr">
        <is>
          <t>Simplified ($15K-$250K)</t>
        </is>
      </c>
      <c r="C20" s="10" t="n">
        <v>0.05</v>
      </c>
      <c r="D20" s="10" t="n">
        <v>0.1</v>
      </c>
      <c r="E20" s="10" t="n">
        <v>0.14</v>
      </c>
      <c r="F20" s="10" t="n">
        <v>0.17</v>
      </c>
      <c r="G20" s="10" t="n">
        <v>0.2</v>
      </c>
      <c r="I20" s="8" t="inlineStr">
        <is>
          <t>Starts Q3 Y1 with past perf refs</t>
        </is>
      </c>
    </row>
    <row r="21">
      <c r="B21" s="6" t="inlineStr">
        <is>
          <t>Set-Aside (SDB/HUBZone)</t>
        </is>
      </c>
      <c r="C21" s="10" t="n">
        <v>0.15</v>
      </c>
      <c r="D21" s="10" t="n">
        <v>0.22</v>
      </c>
      <c r="E21" s="10" t="n">
        <v>0.28</v>
      </c>
      <c r="F21" s="10" t="n">
        <v>0.32</v>
      </c>
      <c r="G21" s="10" t="n">
        <v>0.35</v>
      </c>
      <c r="I21" s="8" t="inlineStr">
        <is>
          <t>IF certified. Day 1 eligible</t>
        </is>
      </c>
    </row>
    <row r="22">
      <c r="B22" s="6" t="inlineStr">
        <is>
          <t>SLED (State/Local/Ed)</t>
        </is>
      </c>
      <c r="C22" s="10" t="n">
        <v>0.08</v>
      </c>
      <c r="D22" s="10" t="n">
        <v>0.12</v>
      </c>
      <c r="E22" s="10" t="n">
        <v>0.16</v>
      </c>
      <c r="F22" s="10" t="n">
        <v>0.2</v>
      </c>
      <c r="G22" s="10" t="n">
        <v>0.22</v>
      </c>
      <c r="I22" s="8" t="inlineStr">
        <is>
          <t>Relationship-driven, FL focus</t>
        </is>
      </c>
    </row>
    <row r="23">
      <c r="B23" s="6" t="inlineStr">
        <is>
          <t>Sealed Bid ($250K+)</t>
        </is>
      </c>
      <c r="C23" s="10" t="n">
        <v>0</v>
      </c>
      <c r="D23" s="10" t="n">
        <v>0.03</v>
      </c>
      <c r="E23" s="10" t="n">
        <v>0.06</v>
      </c>
      <c r="F23" s="10" t="n">
        <v>0.09</v>
      </c>
      <c r="G23" s="10" t="n">
        <v>0.12</v>
      </c>
      <c r="I23" s="8" t="inlineStr">
        <is>
          <t>Requires established track record</t>
        </is>
      </c>
    </row>
    <row r="24">
      <c r="B24" s="6" t="inlineStr">
        <is>
          <t>Recompete/Renewal Rate</t>
        </is>
      </c>
      <c r="C24" s="10" t="n">
        <v>0.7</v>
      </c>
      <c r="I24" s="8" t="inlineStr">
        <is>
          <t>70% of contracts renew to incumbent</t>
        </is>
      </c>
    </row>
    <row r="26">
      <c r="B26" s="5" t="inlineStr">
        <is>
          <t>COST &amp; MARGIN ASSUMPTIONS</t>
        </is>
      </c>
      <c r="C26" s="2" t="n"/>
      <c r="D26" s="2" t="n"/>
      <c r="E26" s="2" t="n"/>
      <c r="F26" s="2" t="n"/>
      <c r="G26" s="2" t="n"/>
      <c r="H26" s="2" t="n"/>
      <c r="I26" s="3" t="n"/>
    </row>
    <row r="27">
      <c r="B27" s="11" t="inlineStr">
        <is>
          <t>Metric</t>
        </is>
      </c>
      <c r="C27" s="9" t="inlineStr">
        <is>
          <t>Value</t>
        </is>
      </c>
      <c r="D27" s="12" t="n"/>
      <c r="E27" s="12" t="n"/>
      <c r="F27" s="12" t="n"/>
      <c r="G27" s="12" t="n"/>
      <c r="H27" s="12" t="n"/>
      <c r="I27" s="9" t="inlineStr">
        <is>
          <t>Notes</t>
        </is>
      </c>
    </row>
    <row r="28">
      <c r="B28" s="6" t="inlineStr">
        <is>
          <t>Blended Gross Margin</t>
        </is>
      </c>
      <c r="C28" s="10" t="n">
        <v>0.22</v>
      </c>
      <c r="D28" s="2" t="n"/>
      <c r="E28" s="2" t="n"/>
      <c r="F28" s="2" t="n"/>
      <c r="G28" s="2" t="n"/>
      <c r="H28" s="3" t="n"/>
      <c r="I28" s="8" t="inlineStr">
        <is>
          <t>22% weighted avg across tiers</t>
        </is>
      </c>
    </row>
    <row r="29">
      <c r="B29" s="6" t="inlineStr">
        <is>
          <t>Bid Prep Cost (Simplified+ per bid)</t>
        </is>
      </c>
      <c r="C29" s="13" t="n">
        <v>750</v>
      </c>
      <c r="D29" s="2" t="n"/>
      <c r="E29" s="2" t="n"/>
      <c r="F29" s="2" t="n"/>
      <c r="G29" s="2" t="n"/>
      <c r="H29" s="3" t="n"/>
      <c r="I29" s="8" t="inlineStr">
        <is>
          <t>Staff time + materials per RFQ/RFP</t>
        </is>
      </c>
    </row>
    <row r="30">
      <c r="B30" s="6" t="inlineStr">
        <is>
          <t>Fulfillment Overhead (% of rev)</t>
        </is>
      </c>
      <c r="C30" s="10" t="n">
        <v>0.03</v>
      </c>
      <c r="D30" s="2" t="n"/>
      <c r="E30" s="2" t="n"/>
      <c r="F30" s="2" t="n"/>
      <c r="G30" s="2" t="n"/>
      <c r="H30" s="3" t="n"/>
      <c r="I30" s="8" t="inlineStr">
        <is>
          <t>Compliance, logistics, admin</t>
        </is>
      </c>
    </row>
    <row r="32">
      <c r="B32" s="5" t="inlineStr">
        <is>
          <t>RENEWAL AVG CONTRACT VALUE</t>
        </is>
      </c>
      <c r="C32" s="2" t="n"/>
      <c r="D32" s="2" t="n"/>
      <c r="E32" s="2" t="n"/>
      <c r="F32" s="2" t="n"/>
      <c r="G32" s="2" t="n"/>
      <c r="H32" s="2" t="n"/>
      <c r="I32" s="3" t="n"/>
    </row>
    <row r="33">
      <c r="B33" s="11" t="inlineStr">
        <is>
          <t>Metric</t>
        </is>
      </c>
      <c r="C33" s="9" t="inlineStr">
        <is>
          <t>Yr 1</t>
        </is>
      </c>
      <c r="D33" s="9" t="inlineStr">
        <is>
          <t>Yr 2</t>
        </is>
      </c>
      <c r="E33" s="9" t="inlineStr">
        <is>
          <t>Yr 3</t>
        </is>
      </c>
      <c r="F33" s="9" t="inlineStr">
        <is>
          <t>Yr 4</t>
        </is>
      </c>
      <c r="G33" s="9" t="inlineStr">
        <is>
          <t>Yr 5</t>
        </is>
      </c>
      <c r="H33" s="12" t="n"/>
      <c r="I33" s="9" t="inlineStr">
        <is>
          <t>Logic</t>
        </is>
      </c>
    </row>
    <row r="34">
      <c r="B34" s="6" t="inlineStr">
        <is>
          <t>Avg Renewal Contract Value</t>
        </is>
      </c>
      <c r="C34" s="13" t="n">
        <v>8000</v>
      </c>
      <c r="D34" s="13" t="n">
        <v>15000</v>
      </c>
      <c r="E34" s="13" t="n">
        <v>25000</v>
      </c>
      <c r="F34" s="13" t="n">
        <v>35000</v>
      </c>
      <c r="G34" s="13" t="n">
        <v>42000</v>
      </c>
      <c r="I34" s="8" t="inlineStr">
        <is>
          <t>Early = micro renewals. Later = simplified+ renewals</t>
        </is>
      </c>
    </row>
    <row r="36">
      <c r="B36" s="5" t="inlineStr">
        <is>
          <t>ANNUAL PROGRAM INVESTMENT</t>
        </is>
      </c>
      <c r="C36" s="2" t="n"/>
      <c r="D36" s="2" t="n"/>
      <c r="E36" s="2" t="n"/>
      <c r="F36" s="2" t="n"/>
      <c r="G36" s="2" t="n"/>
      <c r="H36" s="2" t="n"/>
      <c r="I36" s="3" t="n"/>
    </row>
    <row r="37">
      <c r="B37" s="11" t="inlineStr">
        <is>
          <t>Item</t>
        </is>
      </c>
      <c r="C37" s="9" t="inlineStr">
        <is>
          <t>Yr 1</t>
        </is>
      </c>
      <c r="D37" s="9" t="inlineStr">
        <is>
          <t>Yr 2</t>
        </is>
      </c>
      <c r="E37" s="9" t="inlineStr">
        <is>
          <t>Yr 3</t>
        </is>
      </c>
      <c r="F37" s="9" t="inlineStr">
        <is>
          <t>Yr 4</t>
        </is>
      </c>
      <c r="G37" s="9" t="inlineStr">
        <is>
          <t>Yr 5</t>
        </is>
      </c>
      <c r="H37" s="9" t="inlineStr">
        <is>
          <t>Total</t>
        </is>
      </c>
      <c r="I37" s="9" t="inlineStr">
        <is>
          <t>Includes</t>
        </is>
      </c>
    </row>
    <row r="38">
      <c r="B38" s="6" t="inlineStr">
        <is>
          <t>Program Investment</t>
        </is>
      </c>
      <c r="C38" s="13" t="n">
        <v>11000</v>
      </c>
      <c r="D38" s="13" t="n">
        <v>6000</v>
      </c>
      <c r="E38" s="13" t="n">
        <v>5000</v>
      </c>
      <c r="F38" s="13" t="n">
        <v>4000</v>
      </c>
      <c r="G38" s="13" t="n">
        <v>4000</v>
      </c>
      <c r="H38" s="14">
        <f>SUM(C38:G38)</f>
        <v/>
      </c>
      <c r="I38" s="8" t="inlineStr">
        <is>
          <t>Assoc dues, conferences, travel, software, insurance adj, legal review</t>
        </is>
      </c>
    </row>
  </sheetData>
  <mergeCells count="19">
    <mergeCell ref="C10:H10"/>
    <mergeCell ref="C9:H9"/>
    <mergeCell ref="C12:H12"/>
    <mergeCell ref="C11:H11"/>
    <mergeCell ref="C8:H8"/>
    <mergeCell ref="B3:H3"/>
    <mergeCell ref="C7:H7"/>
    <mergeCell ref="B17:I17"/>
    <mergeCell ref="C28:H28"/>
    <mergeCell ref="C13:H13"/>
    <mergeCell ref="B2:H2"/>
    <mergeCell ref="C30:H30"/>
    <mergeCell ref="C15:H15"/>
    <mergeCell ref="C14:H14"/>
    <mergeCell ref="B5:I5"/>
    <mergeCell ref="B36:I36"/>
    <mergeCell ref="C29:H29"/>
    <mergeCell ref="B32:I32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8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4" customWidth="1" min="4" max="4"/>
    <col width="18" customWidth="1" min="5" max="5"/>
    <col width="4" customWidth="1" min="6" max="6"/>
    <col width="32" customWidth="1" min="7" max="7"/>
  </cols>
  <sheetData>
    <row r="2" ht="20" customHeight="1">
      <c r="B2" s="1" t="inlineStr">
        <is>
          <t>Newport Wholesalers — GovCon Financial Model</t>
        </is>
      </c>
      <c r="C2" s="2" t="n"/>
      <c r="D2" s="2" t="n"/>
      <c r="E2" s="2" t="n"/>
      <c r="F2" s="2" t="n"/>
      <c r="G2" s="3" t="n"/>
    </row>
    <row r="3">
      <c r="B3" s="4" t="inlineStr">
        <is>
          <t>5-Year Projection | February 2026</t>
        </is>
      </c>
      <c r="C3" s="2" t="n"/>
      <c r="D3" s="2" t="n"/>
      <c r="E3" s="2" t="n"/>
      <c r="F3" s="2" t="n"/>
      <c r="G3" s="3" t="n"/>
    </row>
    <row r="5">
      <c r="B5" s="5" t="inlineStr">
        <is>
          <t>COST COMPARISON</t>
        </is>
      </c>
      <c r="C5" s="2" t="n"/>
      <c r="D5" s="2" t="n"/>
      <c r="E5" s="2" t="n"/>
      <c r="F5" s="2" t="n"/>
      <c r="G5" s="3" t="n"/>
    </row>
    <row r="6">
      <c r="B6" s="9" t="inlineStr">
        <is>
          <t>Item</t>
        </is>
      </c>
      <c r="C6" s="9" t="inlineStr">
        <is>
          <t>FREE ROUTE</t>
        </is>
      </c>
      <c r="D6" s="9" t="inlineStr"/>
      <c r="E6" s="9" t="inlineStr">
        <is>
          <t>PAID ROUTE</t>
        </is>
      </c>
      <c r="F6" s="9" t="inlineStr"/>
      <c r="G6" s="9" t="inlineStr">
        <is>
          <t>WHY</t>
        </is>
      </c>
    </row>
    <row r="7">
      <c r="B7" s="15" t="inlineStr">
        <is>
          <t>SAM.gov Registration</t>
        </is>
      </c>
      <c r="C7" s="16" t="inlineStr">
        <is>
          <t>$0</t>
        </is>
      </c>
      <c r="D7" s="17" t="n"/>
      <c r="E7" s="18" t="inlineStr">
        <is>
          <t>$0</t>
        </is>
      </c>
      <c r="F7" s="17" t="n"/>
      <c r="G7" s="19" t="inlineStr">
        <is>
          <t>Required - both routes</t>
        </is>
      </c>
    </row>
    <row r="8">
      <c r="B8" s="20" t="inlineStr">
        <is>
          <t>FL MyFloridaMarketplace</t>
        </is>
      </c>
      <c r="C8" s="21" t="inlineStr">
        <is>
          <t>$0</t>
        </is>
      </c>
      <c r="D8" s="12" t="n"/>
      <c r="E8" s="22" t="inlineStr">
        <is>
          <t>$0</t>
        </is>
      </c>
      <c r="F8" s="12" t="n"/>
      <c r="G8" s="23" t="inlineStr">
        <is>
          <t>Required for SLED</t>
        </is>
      </c>
    </row>
    <row r="9">
      <c r="B9" s="15" t="inlineStr">
        <is>
          <t>Capability Statement</t>
        </is>
      </c>
      <c r="C9" s="16" t="inlineStr">
        <is>
          <t>DIY ($0)</t>
        </is>
      </c>
      <c r="D9" s="17" t="n"/>
      <c r="E9" s="18" t="inlineStr">
        <is>
          <t>$500-$2,000</t>
        </is>
      </c>
      <c r="F9" s="17" t="n"/>
      <c r="G9" s="19" t="inlineStr">
        <is>
          <t>Professional version wins more</t>
        </is>
      </c>
    </row>
    <row r="10">
      <c r="B10" s="20" t="inlineStr">
        <is>
          <t>Food Safety Certification</t>
        </is>
      </c>
      <c r="C10" s="21" t="inlineStr">
        <is>
          <t>Existing ($0)</t>
        </is>
      </c>
      <c r="D10" s="12" t="n"/>
      <c r="E10" s="22" t="inlineStr">
        <is>
          <t>$0-$23,500</t>
        </is>
      </c>
      <c r="F10" s="12" t="n"/>
      <c r="G10" s="23" t="inlineStr">
        <is>
          <t>$0 if already certified</t>
        </is>
      </c>
    </row>
    <row r="11">
      <c r="B11" s="15" t="inlineStr">
        <is>
          <t>Attorney Review (2-3 contracts)</t>
        </is>
      </c>
      <c r="C11" s="16" t="inlineStr">
        <is>
          <t>Skip</t>
        </is>
      </c>
      <c r="D11" s="17" t="n"/>
      <c r="E11" s="18" t="inlineStr">
        <is>
          <t>$2,500-$5,000</t>
        </is>
      </c>
      <c r="F11" s="17" t="n"/>
      <c r="G11" s="19" t="inlineStr">
        <is>
          <t>Gov contracts differ from commercial</t>
        </is>
      </c>
    </row>
    <row r="12">
      <c r="B12" s="20" t="inlineStr">
        <is>
          <t>Insurance Adjustment</t>
        </is>
      </c>
      <c r="C12" s="21" t="inlineStr">
        <is>
          <t>Current ($0)</t>
        </is>
      </c>
      <c r="D12" s="12" t="n"/>
      <c r="E12" s="22" t="inlineStr">
        <is>
          <t>$1,500-$3,000</t>
        </is>
      </c>
      <c r="F12" s="12" t="n"/>
      <c r="G12" s="23" t="inlineStr">
        <is>
          <t>Some contracts need higher limits</t>
        </is>
      </c>
    </row>
    <row r="13">
      <c r="B13" s="15" t="inlineStr">
        <is>
          <t>Industry Associations (NRA/IFDA)</t>
        </is>
      </c>
      <c r="C13" s="16" t="inlineStr">
        <is>
          <t>Skip</t>
        </is>
      </c>
      <c r="D13" s="17" t="n"/>
      <c r="E13" s="18" t="inlineStr">
        <is>
          <t>$1,000-$2,500</t>
        </is>
      </c>
      <c r="F13" s="17" t="n"/>
      <c r="G13" s="19" t="inlineStr">
        <is>
          <t>Bid alerts + networking access</t>
        </is>
      </c>
    </row>
    <row r="14">
      <c r="B14" s="20" t="inlineStr">
        <is>
          <t>Trade Shows (2 events)</t>
        </is>
      </c>
      <c r="C14" s="21" t="inlineStr">
        <is>
          <t>Skip</t>
        </is>
      </c>
      <c r="D14" s="12" t="n"/>
      <c r="E14" s="22" t="inlineStr">
        <is>
          <t>$3,000-$6,000</t>
        </is>
      </c>
      <c r="F14" s="12" t="n"/>
      <c r="G14" s="23" t="inlineStr">
        <is>
          <t>Face time with contracting officers</t>
        </is>
      </c>
    </row>
    <row r="15">
      <c r="B15" s="15" t="inlineStr">
        <is>
          <t>Relationship Building</t>
        </is>
      </c>
      <c r="C15" s="16" t="inlineStr">
        <is>
          <t>Cold calls ($0)</t>
        </is>
      </c>
      <c r="D15" s="17" t="n"/>
      <c r="E15" s="18" t="inlineStr">
        <is>
          <t>$2,000-$5,000</t>
        </is>
      </c>
      <c r="F15" s="17" t="n"/>
      <c r="G15" s="19" t="inlineStr">
        <is>
          <t>CO meetings, base/facility visits</t>
        </is>
      </c>
    </row>
    <row r="16">
      <c r="B16" s="20" t="inlineStr">
        <is>
          <t>Bid Tracking Software</t>
        </is>
      </c>
      <c r="C16" s="21" t="inlineStr">
        <is>
          <t>Manual / free</t>
        </is>
      </c>
      <c r="D16" s="12" t="n"/>
      <c r="E16" s="22" t="inlineStr">
        <is>
          <t>$500-$1,500</t>
        </is>
      </c>
      <c r="F16" s="12" t="n"/>
      <c r="G16" s="23" t="inlineStr">
        <is>
          <t>GovWin IQ or similar</t>
        </is>
      </c>
    </row>
    <row r="17">
      <c r="B17" s="24" t="inlineStr">
        <is>
          <t>TOTAL YEAR 1</t>
        </is>
      </c>
      <c r="C17" s="25" t="inlineStr">
        <is>
          <t>$0 - $2,000</t>
        </is>
      </c>
      <c r="D17" s="26" t="n"/>
      <c r="E17" s="27" t="inlineStr">
        <is>
          <t>$11,000 - $47,000</t>
        </is>
      </c>
      <c r="F17" s="26" t="n"/>
      <c r="G17" s="28" t="inlineStr">
        <is>
          <t>No consulting fee - tools/hard costs only</t>
        </is>
      </c>
    </row>
    <row r="19">
      <c r="B19" s="5" t="inlineStr">
        <is>
          <t>EXPECTED OUTCOMES</t>
        </is>
      </c>
      <c r="C19" s="2" t="n"/>
      <c r="D19" s="2" t="n"/>
      <c r="E19" s="2" t="n"/>
      <c r="F19" s="2" t="n"/>
      <c r="G19" s="3" t="n"/>
    </row>
    <row r="20">
      <c r="B20" s="9" t="inlineStr">
        <is>
          <t>Metric</t>
        </is>
      </c>
      <c r="C20" s="9" t="inlineStr">
        <is>
          <t>Free</t>
        </is>
      </c>
      <c r="D20" s="9" t="inlineStr"/>
      <c r="E20" s="9" t="inlineStr">
        <is>
          <t>Paid</t>
        </is>
      </c>
      <c r="F20" s="9" t="inlineStr"/>
      <c r="G20" s="9" t="inlineStr">
        <is>
          <t>Delta</t>
        </is>
      </c>
    </row>
    <row r="21">
      <c r="B21" s="15" t="inlineStr">
        <is>
          <t>Yr 1 Win Rate (Micro)</t>
        </is>
      </c>
      <c r="C21" s="16" t="inlineStr">
        <is>
          <t>8-10%</t>
        </is>
      </c>
      <c r="D21" s="17" t="n"/>
      <c r="E21" s="29" t="inlineStr">
        <is>
          <t>12-18%</t>
        </is>
      </c>
      <c r="F21" s="17" t="n"/>
      <c r="G21" s="30" t="inlineStr">
        <is>
          <t>+50-80%</t>
        </is>
      </c>
    </row>
    <row r="22">
      <c r="B22" s="20" t="inlineStr">
        <is>
          <t>Yr 1 Contracts Won</t>
        </is>
      </c>
      <c r="C22" s="21" t="inlineStr">
        <is>
          <t>4-6</t>
        </is>
      </c>
      <c r="D22" s="12" t="n"/>
      <c r="E22" s="31" t="inlineStr">
        <is>
          <t>10-15</t>
        </is>
      </c>
      <c r="F22" s="12" t="n"/>
      <c r="G22" s="9" t="inlineStr">
        <is>
          <t>2-3x more</t>
        </is>
      </c>
    </row>
    <row r="23">
      <c r="B23" s="15" t="inlineStr">
        <is>
          <t>Yr 1 Revenue</t>
        </is>
      </c>
      <c r="C23" s="16" t="inlineStr">
        <is>
          <t>$25K-$45K</t>
        </is>
      </c>
      <c r="D23" s="17" t="n"/>
      <c r="E23" s="29" t="inlineStr">
        <is>
          <t>$80K-$150K</t>
        </is>
      </c>
      <c r="F23" s="17" t="n"/>
      <c r="G23" s="30" t="inlineStr">
        <is>
          <t>3-5x</t>
        </is>
      </c>
    </row>
    <row r="24">
      <c r="B24" s="20" t="inlineStr">
        <is>
          <t>Time to Simplified Eligibility</t>
        </is>
      </c>
      <c r="C24" s="21" t="inlineStr">
        <is>
          <t>18-24 months</t>
        </is>
      </c>
      <c r="D24" s="12" t="n"/>
      <c r="E24" s="31" t="inlineStr">
        <is>
          <t>6-9 months</t>
        </is>
      </c>
      <c r="F24" s="12" t="n"/>
      <c r="G24" s="9" t="inlineStr">
        <is>
          <t>1+ year faster</t>
        </is>
      </c>
    </row>
    <row r="25">
      <c r="B25" s="15" t="inlineStr">
        <is>
          <t>5-Yr Cumulative Revenue</t>
        </is>
      </c>
      <c r="C25" s="16" t="inlineStr">
        <is>
          <t>$400K-$800K</t>
        </is>
      </c>
      <c r="D25" s="17" t="n"/>
      <c r="E25" s="29" t="inlineStr">
        <is>
          <t>$3M-$6M+</t>
        </is>
      </c>
      <c r="F25" s="17" t="n"/>
      <c r="G25" s="30" t="inlineStr">
        <is>
          <t>8-10x</t>
        </is>
      </c>
    </row>
    <row r="26">
      <c r="B26" s="20" t="inlineStr">
        <is>
          <t>5-Yr Cumulative Owner Earnings</t>
        </is>
      </c>
      <c r="C26" s="21" t="inlineStr">
        <is>
          <t>$50K-$120K</t>
        </is>
      </c>
      <c r="D26" s="12" t="n"/>
      <c r="E26" s="31" t="inlineStr">
        <is>
          <t>$500K-$900K+</t>
        </is>
      </c>
      <c r="F26" s="12" t="n"/>
      <c r="G26" s="9" t="inlineStr">
        <is>
          <t>10x+</t>
        </is>
      </c>
    </row>
    <row r="28" ht="40" customHeight="1">
      <c r="B28" s="32" t="inlineStr">
        <is>
          <t>RECOMMENDATION: Paid route. Year 1 is a small net investment that pays for itself by mid-Year 2. The compounding renewal base means every Year 1 dollar multiplies through Years 2-5.</t>
        </is>
      </c>
      <c r="C28" s="2" t="n"/>
      <c r="D28" s="2" t="n"/>
      <c r="E28" s="2" t="n"/>
      <c r="F28" s="2" t="n"/>
      <c r="G28" s="3" t="n"/>
    </row>
  </sheetData>
  <mergeCells count="5">
    <mergeCell ref="B3:G3"/>
    <mergeCell ref="B2:G2"/>
    <mergeCell ref="B19:G19"/>
    <mergeCell ref="B28:G28"/>
    <mergeCell ref="B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20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2" ht="20" customHeight="1">
      <c r="B2" s="1" t="inlineStr">
        <is>
          <t>Newport Wholesalers — GovCon Financial Model</t>
        </is>
      </c>
      <c r="C2" s="2" t="n"/>
      <c r="D2" s="2" t="n"/>
      <c r="E2" s="2" t="n"/>
      <c r="F2" s="2" t="n"/>
      <c r="G2" s="2" t="n"/>
      <c r="H2" s="2" t="n"/>
      <c r="I2" s="3" t="n"/>
    </row>
    <row r="3">
      <c r="B3" s="4" t="inlineStr">
        <is>
          <t>5-Year Projection | February 2026</t>
        </is>
      </c>
      <c r="C3" s="2" t="n"/>
      <c r="D3" s="2" t="n"/>
      <c r="E3" s="2" t="n"/>
      <c r="F3" s="2" t="n"/>
      <c r="G3" s="2" t="n"/>
      <c r="H3" s="2" t="n"/>
      <c r="I3" s="3" t="n"/>
    </row>
    <row r="5">
      <c r="B5" s="5" t="inlineStr">
        <is>
          <t>NEW BIDS SUBMITTED</t>
        </is>
      </c>
      <c r="C5" s="2" t="n"/>
      <c r="D5" s="2" t="n"/>
      <c r="E5" s="2" t="n"/>
      <c r="F5" s="2" t="n"/>
      <c r="G5" s="2" t="n"/>
      <c r="H5" s="2" t="n"/>
      <c r="I5" s="3" t="n"/>
    </row>
    <row r="6">
      <c r="B6" s="33" t="inlineStr">
        <is>
          <t>Blue values are editable assumptions</t>
        </is>
      </c>
      <c r="C6" s="2" t="n"/>
      <c r="D6" s="2" t="n"/>
      <c r="E6" s="2" t="n"/>
      <c r="F6" s="2" t="n"/>
      <c r="G6" s="2" t="n"/>
      <c r="H6" s="2" t="n"/>
      <c r="I6" s="3" t="n"/>
    </row>
    <row r="7">
      <c r="B7" s="11" t="n"/>
      <c r="C7" s="9" t="inlineStr">
        <is>
          <t>Yr 1</t>
        </is>
      </c>
      <c r="D7" s="9" t="inlineStr">
        <is>
          <t>Yr 2</t>
        </is>
      </c>
      <c r="E7" s="9" t="inlineStr">
        <is>
          <t>Yr 3</t>
        </is>
      </c>
      <c r="F7" s="9" t="inlineStr">
        <is>
          <t>Yr 4</t>
        </is>
      </c>
      <c r="G7" s="9" t="inlineStr">
        <is>
          <t>Yr 5</t>
        </is>
      </c>
      <c r="H7" s="9" t="inlineStr">
        <is>
          <t>Total</t>
        </is>
      </c>
      <c r="I7" s="9" t="inlineStr">
        <is>
          <t>Strategy</t>
        </is>
      </c>
    </row>
    <row r="8">
      <c r="B8" s="34" t="inlineStr">
        <is>
          <t>Micro (&lt;$15K) CREDIBILITY PHASE</t>
        </is>
      </c>
      <c r="C8" s="35" t="n">
        <v>55</v>
      </c>
      <c r="D8" s="35" t="n">
        <v>25</v>
      </c>
      <c r="E8" s="35" t="n">
        <v>10</v>
      </c>
      <c r="F8" s="35" t="n">
        <v>0</v>
      </c>
      <c r="G8" s="35" t="n">
        <v>0</v>
      </c>
      <c r="H8" s="36">
        <f>SUM(C8:G8)</f>
        <v/>
      </c>
      <c r="I8" s="8" t="inlineStr">
        <is>
          <t>Win enough to unlock, then stop actively bidding</t>
        </is>
      </c>
    </row>
    <row r="9">
      <c r="B9" s="6" t="inlineStr">
        <is>
          <t>Simplified ($15K-$250K)</t>
        </is>
      </c>
      <c r="C9" s="35" t="n">
        <v>8</v>
      </c>
      <c r="D9" s="35" t="n">
        <v>28</v>
      </c>
      <c r="E9" s="35" t="n">
        <v>42</v>
      </c>
      <c r="F9" s="35" t="n">
        <v>52</v>
      </c>
      <c r="G9" s="35" t="n">
        <v>58</v>
      </c>
      <c r="H9" s="36">
        <f>SUM(C9:G9)</f>
        <v/>
      </c>
      <c r="I9" s="8" t="inlineStr">
        <is>
          <t>Starts Q3 Y1 w/ past perf. Primary engine Y2+</t>
        </is>
      </c>
    </row>
    <row r="10">
      <c r="B10" s="6" t="inlineStr">
        <is>
          <t>Set-Aside (SDB/HUBZone)</t>
        </is>
      </c>
      <c r="C10" s="35" t="n">
        <v>6</v>
      </c>
      <c r="D10" s="35" t="n">
        <v>14</v>
      </c>
      <c r="E10" s="35" t="n">
        <v>22</v>
      </c>
      <c r="F10" s="35" t="n">
        <v>28</v>
      </c>
      <c r="G10" s="35" t="n">
        <v>30</v>
      </c>
      <c r="H10" s="36">
        <f>SUM(C10:G10)</f>
        <v/>
      </c>
      <c r="I10" s="8" t="inlineStr">
        <is>
          <t>Day 1 if certified. Premium margins</t>
        </is>
      </c>
    </row>
    <row r="11">
      <c r="B11" s="6" t="inlineStr">
        <is>
          <t>SLED (State/Local/Ed)</t>
        </is>
      </c>
      <c r="C11" s="35" t="n">
        <v>15</v>
      </c>
      <c r="D11" s="35" t="n">
        <v>22</v>
      </c>
      <c r="E11" s="35" t="n">
        <v>30</v>
      </c>
      <c r="F11" s="35" t="n">
        <v>38</v>
      </c>
      <c r="G11" s="35" t="n">
        <v>42</v>
      </c>
      <c r="H11" s="36">
        <f>SUM(C11:G11)</f>
        <v/>
      </c>
      <c r="I11" s="8" t="inlineStr">
        <is>
          <t>FL schools/counties - parallel from Day 1</t>
        </is>
      </c>
    </row>
    <row r="12">
      <c r="B12" s="6" t="inlineStr">
        <is>
          <t>Sealed Bid ($250K+)</t>
        </is>
      </c>
      <c r="C12" s="35" t="n">
        <v>0</v>
      </c>
      <c r="D12" s="35" t="n">
        <v>3</v>
      </c>
      <c r="E12" s="35" t="n">
        <v>8</v>
      </c>
      <c r="F12" s="35" t="n">
        <v>12</v>
      </c>
      <c r="G12" s="35" t="n">
        <v>16</v>
      </c>
      <c r="H12" s="36">
        <f>SUM(C12:G12)</f>
        <v/>
      </c>
      <c r="I12" s="8" t="inlineStr">
        <is>
          <t>Y2+ only with track record</t>
        </is>
      </c>
    </row>
    <row r="13">
      <c r="B13" s="24" t="inlineStr">
        <is>
          <t>TOTAL BIDS</t>
        </is>
      </c>
      <c r="C13" s="37">
        <f>SUM(C8:C12)</f>
        <v/>
      </c>
      <c r="D13" s="37">
        <f>SUM(D8:D12)</f>
        <v/>
      </c>
      <c r="E13" s="37">
        <f>SUM(E8:E12)</f>
        <v/>
      </c>
      <c r="F13" s="37">
        <f>SUM(F8:F12)</f>
        <v/>
      </c>
      <c r="G13" s="37">
        <f>SUM(G8:G12)</f>
        <v/>
      </c>
      <c r="H13" s="37">
        <f>SUM(H8:H12)</f>
        <v/>
      </c>
      <c r="I13" s="26" t="n"/>
    </row>
    <row r="15">
      <c r="B15" s="5" t="inlineStr">
        <is>
          <t>NEW CONTRACT WINS</t>
        </is>
      </c>
      <c r="C15" s="2" t="n"/>
      <c r="D15" s="2" t="n"/>
      <c r="E15" s="2" t="n"/>
      <c r="F15" s="2" t="n"/>
      <c r="G15" s="2" t="n"/>
      <c r="H15" s="2" t="n"/>
      <c r="I15" s="3" t="n"/>
    </row>
    <row r="16">
      <c r="B16" s="11" t="n"/>
      <c r="C16" s="9" t="inlineStr">
        <is>
          <t>Yr 1</t>
        </is>
      </c>
      <c r="D16" s="9" t="inlineStr">
        <is>
          <t>Yr 2</t>
        </is>
      </c>
      <c r="E16" s="9" t="inlineStr">
        <is>
          <t>Yr 3</t>
        </is>
      </c>
      <c r="F16" s="9" t="inlineStr">
        <is>
          <t>Yr 4</t>
        </is>
      </c>
      <c r="G16" s="9" t="inlineStr">
        <is>
          <t>Yr 5</t>
        </is>
      </c>
      <c r="H16" s="9" t="inlineStr">
        <is>
          <t>Total</t>
        </is>
      </c>
      <c r="I16" s="9" t="inlineStr">
        <is>
          <t>Strategy</t>
        </is>
      </c>
    </row>
    <row r="17">
      <c r="B17" s="6" t="inlineStr">
        <is>
          <t>Micro (&lt;$15K)</t>
        </is>
      </c>
      <c r="C17" s="38">
        <f>ROUND(C8*Inputs!C19,0)</f>
        <v/>
      </c>
      <c r="D17" s="38">
        <f>ROUND(D8*Inputs!D19,0)</f>
        <v/>
      </c>
      <c r="E17" s="38">
        <f>ROUND(E8*Inputs!E19,0)</f>
        <v/>
      </c>
      <c r="F17" s="38">
        <f>ROUND(F8*Inputs!F19,0)</f>
        <v/>
      </c>
      <c r="G17" s="38">
        <f>ROUND(G8*Inputs!G19,0)</f>
        <v/>
      </c>
      <c r="H17" s="36">
        <f>SUM(C17:G17)</f>
        <v/>
      </c>
      <c r="I17" s="7" t="n"/>
    </row>
    <row r="18">
      <c r="B18" s="6" t="inlineStr">
        <is>
          <t>Simplified ($15K-$250K)</t>
        </is>
      </c>
      <c r="C18" s="38">
        <f>ROUND(C9*Inputs!C20,0)</f>
        <v/>
      </c>
      <c r="D18" s="38">
        <f>ROUND(D9*Inputs!D20,0)</f>
        <v/>
      </c>
      <c r="E18" s="38">
        <f>ROUND(E9*Inputs!E20,0)</f>
        <v/>
      </c>
      <c r="F18" s="38">
        <f>ROUND(F9*Inputs!F20,0)</f>
        <v/>
      </c>
      <c r="G18" s="38">
        <f>ROUND(G9*Inputs!G20,0)</f>
        <v/>
      </c>
      <c r="H18" s="36">
        <f>SUM(C18:G18)</f>
        <v/>
      </c>
      <c r="I18" s="7" t="n"/>
    </row>
    <row r="19">
      <c r="B19" s="6" t="inlineStr">
        <is>
          <t>Set-Aside (SDB/HUBZone)</t>
        </is>
      </c>
      <c r="C19" s="38">
        <f>ROUND(C10*Inputs!C21,0)</f>
        <v/>
      </c>
      <c r="D19" s="38">
        <f>ROUND(D10*Inputs!D21,0)</f>
        <v/>
      </c>
      <c r="E19" s="38">
        <f>ROUND(E10*Inputs!E21,0)</f>
        <v/>
      </c>
      <c r="F19" s="38">
        <f>ROUND(F10*Inputs!F21,0)</f>
        <v/>
      </c>
      <c r="G19" s="38">
        <f>ROUND(G10*Inputs!G21,0)</f>
        <v/>
      </c>
      <c r="H19" s="36">
        <f>SUM(C19:G19)</f>
        <v/>
      </c>
      <c r="I19" s="7" t="n"/>
    </row>
    <row r="20">
      <c r="B20" s="6" t="inlineStr">
        <is>
          <t>SLED (State/Local/Ed)</t>
        </is>
      </c>
      <c r="C20" s="38">
        <f>ROUND(C11*Inputs!C22,0)</f>
        <v/>
      </c>
      <c r="D20" s="38">
        <f>ROUND(D11*Inputs!D22,0)</f>
        <v/>
      </c>
      <c r="E20" s="38">
        <f>ROUND(E11*Inputs!E22,0)</f>
        <v/>
      </c>
      <c r="F20" s="38">
        <f>ROUND(F11*Inputs!F22,0)</f>
        <v/>
      </c>
      <c r="G20" s="38">
        <f>ROUND(G11*Inputs!G22,0)</f>
        <v/>
      </c>
      <c r="H20" s="36">
        <f>SUM(C20:G20)</f>
        <v/>
      </c>
      <c r="I20" s="7" t="n"/>
    </row>
    <row r="21">
      <c r="B21" s="6" t="inlineStr">
        <is>
          <t>Sealed Bid ($250K+)</t>
        </is>
      </c>
      <c r="C21" s="38">
        <f>ROUND(C12*Inputs!C23,0)</f>
        <v/>
      </c>
      <c r="D21" s="38">
        <f>ROUND(D12*Inputs!D23,0)</f>
        <v/>
      </c>
      <c r="E21" s="38">
        <f>ROUND(E12*Inputs!E23,0)</f>
        <v/>
      </c>
      <c r="F21" s="38">
        <f>ROUND(F12*Inputs!F23,0)</f>
        <v/>
      </c>
      <c r="G21" s="38">
        <f>ROUND(G12*Inputs!G23,0)</f>
        <v/>
      </c>
      <c r="H21" s="36">
        <f>SUM(C21:G21)</f>
        <v/>
      </c>
      <c r="I21" s="7" t="n"/>
    </row>
    <row r="22">
      <c r="B22" s="24" t="inlineStr">
        <is>
          <t>TOTAL NEW WINS</t>
        </is>
      </c>
      <c r="C22" s="37">
        <f>SUM(C17:C21)</f>
        <v/>
      </c>
      <c r="D22" s="37">
        <f>SUM(D17:D21)</f>
        <v/>
      </c>
      <c r="E22" s="37">
        <f>SUM(E17:E21)</f>
        <v/>
      </c>
      <c r="F22" s="37">
        <f>SUM(F17:F21)</f>
        <v/>
      </c>
      <c r="G22" s="37">
        <f>SUM(G17:G21)</f>
        <v/>
      </c>
      <c r="H22" s="37">
        <f>SUM(H17:H21)</f>
        <v/>
      </c>
      <c r="I22" s="26" t="n"/>
    </row>
    <row r="24">
      <c r="B24" s="5" t="inlineStr">
        <is>
          <t>ACTIVE CONTRACT BASE</t>
        </is>
      </c>
      <c r="C24" s="2" t="n"/>
      <c r="D24" s="2" t="n"/>
      <c r="E24" s="2" t="n"/>
      <c r="F24" s="2" t="n"/>
      <c r="G24" s="2" t="n"/>
      <c r="H24" s="2" t="n"/>
      <c r="I24" s="3" t="n"/>
    </row>
    <row r="25">
      <c r="B25" s="33" t="inlineStr">
        <is>
          <t>70% renewal rate compounds the portfolio each year</t>
        </is>
      </c>
      <c r="C25" s="2" t="n"/>
      <c r="D25" s="2" t="n"/>
      <c r="E25" s="2" t="n"/>
      <c r="F25" s="2" t="n"/>
      <c r="G25" s="2" t="n"/>
      <c r="H25" s="2" t="n"/>
      <c r="I25" s="3" t="n"/>
    </row>
    <row r="26">
      <c r="B26" s="11" t="n"/>
      <c r="C26" s="9" t="inlineStr">
        <is>
          <t>Yr 1</t>
        </is>
      </c>
      <c r="D26" s="9" t="inlineStr">
        <is>
          <t>Yr 2</t>
        </is>
      </c>
      <c r="E26" s="9" t="inlineStr">
        <is>
          <t>Yr 3</t>
        </is>
      </c>
      <c r="F26" s="9" t="inlineStr">
        <is>
          <t>Yr 4</t>
        </is>
      </c>
      <c r="G26" s="9" t="inlineStr">
        <is>
          <t>Yr 5</t>
        </is>
      </c>
      <c r="H26" s="9" t="inlineStr">
        <is>
          <t>Total</t>
        </is>
      </c>
      <c r="I26" s="9" t="inlineStr">
        <is>
          <t>Strategy</t>
        </is>
      </c>
    </row>
    <row r="27">
      <c r="B27" s="6" t="inlineStr">
        <is>
          <t>Renewed from Prior Year (70%)</t>
        </is>
      </c>
      <c r="C27" s="38" t="n">
        <v>0</v>
      </c>
      <c r="D27" s="38">
        <f>ROUND(C29*Inputs!$C$24,0)</f>
        <v/>
      </c>
      <c r="E27" s="38">
        <f>ROUND(D29*Inputs!$C$24,0)</f>
        <v/>
      </c>
      <c r="F27" s="38">
        <f>ROUND(E29*Inputs!$C$24,0)</f>
        <v/>
      </c>
      <c r="G27" s="38">
        <f>ROUND(F29*Inputs!$C$24,0)</f>
        <v/>
      </c>
      <c r="H27" s="36">
        <f>SUM(C27:G27)</f>
        <v/>
      </c>
      <c r="I27" s="7" t="n"/>
    </row>
    <row r="28">
      <c r="B28" s="6" t="inlineStr">
        <is>
          <t>+ New Wins This Year</t>
        </is>
      </c>
      <c r="C28" s="38">
        <f>C22</f>
        <v/>
      </c>
      <c r="D28" s="38">
        <f>D22</f>
        <v/>
      </c>
      <c r="E28" s="38">
        <f>E22</f>
        <v/>
      </c>
      <c r="F28" s="38">
        <f>F22</f>
        <v/>
      </c>
      <c r="G28" s="38">
        <f>G22</f>
        <v/>
      </c>
      <c r="H28" s="36">
        <f>SUM(C28:G28)</f>
        <v/>
      </c>
      <c r="I28" s="7" t="n"/>
    </row>
    <row r="29">
      <c r="B29" s="24" t="inlineStr">
        <is>
          <t>TOTAL ACTIVE CONTRACTS</t>
        </is>
      </c>
      <c r="C29" s="37">
        <f>C27+C28</f>
        <v/>
      </c>
      <c r="D29" s="37">
        <f>D27+D28</f>
        <v/>
      </c>
      <c r="E29" s="37">
        <f>E27+E28</f>
        <v/>
      </c>
      <c r="F29" s="37">
        <f>F27+F28</f>
        <v/>
      </c>
      <c r="G29" s="37">
        <f>G27+G28</f>
        <v/>
      </c>
      <c r="H29" s="37">
        <f>SUM(C29:G29)</f>
        <v/>
      </c>
      <c r="I29" s="26" t="n"/>
    </row>
    <row r="31">
      <c r="B31" s="5" t="inlineStr">
        <is>
          <t>REVENUE</t>
        </is>
      </c>
      <c r="C31" s="2" t="n"/>
      <c r="D31" s="2" t="n"/>
      <c r="E31" s="2" t="n"/>
      <c r="F31" s="2" t="n"/>
      <c r="G31" s="2" t="n"/>
      <c r="H31" s="2" t="n"/>
      <c r="I31" s="3" t="n"/>
    </row>
    <row r="32">
      <c r="B32" s="11" t="inlineStr">
        <is>
          <t>Source</t>
        </is>
      </c>
      <c r="C32" s="9" t="inlineStr">
        <is>
          <t>Yr 1</t>
        </is>
      </c>
      <c r="D32" s="9" t="inlineStr">
        <is>
          <t>Yr 2</t>
        </is>
      </c>
      <c r="E32" s="9" t="inlineStr">
        <is>
          <t>Yr 3</t>
        </is>
      </c>
      <c r="F32" s="9" t="inlineStr">
        <is>
          <t>Yr 4</t>
        </is>
      </c>
      <c r="G32" s="9" t="inlineStr">
        <is>
          <t>Yr 5</t>
        </is>
      </c>
      <c r="H32" s="9" t="inlineStr">
        <is>
          <t>5-Yr Total</t>
        </is>
      </c>
      <c r="I32" s="9" t="inlineStr">
        <is>
          <t>Avg Contract</t>
        </is>
      </c>
    </row>
    <row r="33">
      <c r="B33" s="6" t="inlineStr">
        <is>
          <t>Micro Wins (new)</t>
        </is>
      </c>
      <c r="C33" s="39">
        <f>C17*$I$33</f>
        <v/>
      </c>
      <c r="D33" s="39">
        <f>D17*$I$33</f>
        <v/>
      </c>
      <c r="E33" s="39">
        <f>E17*$I$33</f>
        <v/>
      </c>
      <c r="F33" s="39">
        <f>F17*$I$33</f>
        <v/>
      </c>
      <c r="G33" s="39">
        <f>G17*$I$33</f>
        <v/>
      </c>
      <c r="H33" s="14">
        <f>SUM(C33:G33)</f>
        <v/>
      </c>
      <c r="I33" s="40" t="n">
        <v>5200</v>
      </c>
    </row>
    <row r="34">
      <c r="B34" s="6" t="inlineStr">
        <is>
          <t>Simplified Wins (new)</t>
        </is>
      </c>
      <c r="C34" s="39">
        <f>C18*$I$34</f>
        <v/>
      </c>
      <c r="D34" s="39">
        <f>D18*$I$34</f>
        <v/>
      </c>
      <c r="E34" s="39">
        <f>E18*$I$34</f>
        <v/>
      </c>
      <c r="F34" s="39">
        <f>F18*$I$34</f>
        <v/>
      </c>
      <c r="G34" s="39">
        <f>G18*$I$34</f>
        <v/>
      </c>
      <c r="H34" s="14">
        <f>SUM(C34:G34)</f>
        <v/>
      </c>
      <c r="I34" s="40" t="n">
        <v>45000</v>
      </c>
    </row>
    <row r="35">
      <c r="B35" s="6" t="inlineStr">
        <is>
          <t>Set-Aside Wins (new)</t>
        </is>
      </c>
      <c r="C35" s="39">
        <f>C19*$I$35</f>
        <v/>
      </c>
      <c r="D35" s="39">
        <f>D19*$I$35</f>
        <v/>
      </c>
      <c r="E35" s="39">
        <f>E19*$I$35</f>
        <v/>
      </c>
      <c r="F35" s="39">
        <f>F19*$I$35</f>
        <v/>
      </c>
      <c r="G35" s="39">
        <f>G19*$I$35</f>
        <v/>
      </c>
      <c r="H35" s="14">
        <f>SUM(C35:G35)</f>
        <v/>
      </c>
      <c r="I35" s="40" t="n">
        <v>40000</v>
      </c>
    </row>
    <row r="36">
      <c r="B36" s="6" t="inlineStr">
        <is>
          <t>SLED Wins (new)</t>
        </is>
      </c>
      <c r="C36" s="39">
        <f>C20*$I$36</f>
        <v/>
      </c>
      <c r="D36" s="39">
        <f>D20*$I$36</f>
        <v/>
      </c>
      <c r="E36" s="39">
        <f>E20*$I$36</f>
        <v/>
      </c>
      <c r="F36" s="39">
        <f>F20*$I$36</f>
        <v/>
      </c>
      <c r="G36" s="39">
        <f>G20*$I$36</f>
        <v/>
      </c>
      <c r="H36" s="14">
        <f>SUM(C36:G36)</f>
        <v/>
      </c>
      <c r="I36" s="40" t="n">
        <v>18000</v>
      </c>
    </row>
    <row r="37">
      <c r="B37" s="6" t="inlineStr">
        <is>
          <t>Sealed Bid Wins (new)</t>
        </is>
      </c>
      <c r="C37" s="39">
        <f>C21*$I$37</f>
        <v/>
      </c>
      <c r="D37" s="39">
        <f>D21*$I$37</f>
        <v/>
      </c>
      <c r="E37" s="39">
        <f>E21*$I$37</f>
        <v/>
      </c>
      <c r="F37" s="39">
        <f>F21*$I$37</f>
        <v/>
      </c>
      <c r="G37" s="39">
        <f>G21*$I$37</f>
        <v/>
      </c>
      <c r="H37" s="14">
        <f>SUM(C37:G37)</f>
        <v/>
      </c>
      <c r="I37" s="40" t="n">
        <v>175000</v>
      </c>
    </row>
    <row r="38">
      <c r="B38" s="6" t="inlineStr">
        <is>
          <t>Renewal Revenue (recurring)</t>
        </is>
      </c>
      <c r="C38" s="39">
        <f>C27*Inputs!C34</f>
        <v/>
      </c>
      <c r="D38" s="39">
        <f>D27*Inputs!D34</f>
        <v/>
      </c>
      <c r="E38" s="39">
        <f>E27*Inputs!E34</f>
        <v/>
      </c>
      <c r="F38" s="39">
        <f>F27*Inputs!F34</f>
        <v/>
      </c>
      <c r="G38" s="39">
        <f>G27*Inputs!G34</f>
        <v/>
      </c>
      <c r="H38" s="14">
        <f>SUM(C38:G38)</f>
        <v/>
      </c>
      <c r="I38" s="8" t="inlineStr">
        <is>
          <t>Avg grows as portfolio shifts up</t>
        </is>
      </c>
    </row>
    <row r="39">
      <c r="B39" s="24" t="inlineStr">
        <is>
          <t>TOTAL REVENUE</t>
        </is>
      </c>
      <c r="C39" s="41">
        <f>SUM(C33:C38)</f>
        <v/>
      </c>
      <c r="D39" s="41">
        <f>SUM(D33:D38)</f>
        <v/>
      </c>
      <c r="E39" s="41">
        <f>SUM(E33:E38)</f>
        <v/>
      </c>
      <c r="F39" s="41">
        <f>SUM(F33:F38)</f>
        <v/>
      </c>
      <c r="G39" s="41">
        <f>SUM(G33:G38)</f>
        <v/>
      </c>
      <c r="H39" s="41">
        <f>SUM(C39:G39)</f>
        <v/>
      </c>
      <c r="I39" s="26" t="n"/>
    </row>
    <row r="41">
      <c r="B41" s="5" t="inlineStr">
        <is>
          <t>OWNER EARNINGS</t>
        </is>
      </c>
      <c r="C41" s="2" t="n"/>
      <c r="D41" s="2" t="n"/>
      <c r="E41" s="2" t="n"/>
      <c r="F41" s="2" t="n"/>
      <c r="G41" s="2" t="n"/>
      <c r="H41" s="2" t="n"/>
      <c r="I41" s="3" t="n"/>
    </row>
    <row r="42">
      <c r="B42" s="33" t="inlineStr">
        <is>
          <t>What Newport keeps after all costs</t>
        </is>
      </c>
      <c r="C42" s="2" t="n"/>
      <c r="D42" s="2" t="n"/>
      <c r="E42" s="2" t="n"/>
      <c r="F42" s="2" t="n"/>
      <c r="G42" s="2" t="n"/>
      <c r="H42" s="2" t="n"/>
      <c r="I42" s="3" t="n"/>
    </row>
    <row r="43">
      <c r="B43" s="11" t="inlineStr">
        <is>
          <t>Line Item</t>
        </is>
      </c>
      <c r="C43" s="9" t="inlineStr">
        <is>
          <t>Yr 1</t>
        </is>
      </c>
      <c r="D43" s="9" t="inlineStr">
        <is>
          <t>Yr 2</t>
        </is>
      </c>
      <c r="E43" s="9" t="inlineStr">
        <is>
          <t>Yr 3</t>
        </is>
      </c>
      <c r="F43" s="9" t="inlineStr">
        <is>
          <t>Yr 4</t>
        </is>
      </c>
      <c r="G43" s="9" t="inlineStr">
        <is>
          <t>Yr 5</t>
        </is>
      </c>
      <c r="H43" s="9" t="inlineStr">
        <is>
          <t>5-Yr Total</t>
        </is>
      </c>
      <c r="I43" s="12" t="n"/>
    </row>
    <row r="44">
      <c r="B44" s="6" t="inlineStr">
        <is>
          <t>Revenue</t>
        </is>
      </c>
      <c r="C44" s="39">
        <f>C39</f>
        <v/>
      </c>
      <c r="D44" s="39">
        <f>D39</f>
        <v/>
      </c>
      <c r="E44" s="39">
        <f>E39</f>
        <v/>
      </c>
      <c r="F44" s="39">
        <f>F39</f>
        <v/>
      </c>
      <c r="G44" s="39">
        <f>G39</f>
        <v/>
      </c>
      <c r="H44" s="14">
        <f>SUM(C44:G44)</f>
        <v/>
      </c>
    </row>
    <row r="45">
      <c r="B45" s="6" t="inlineStr">
        <is>
          <t>(-) COGS</t>
        </is>
      </c>
      <c r="C45" s="39">
        <f>C44*(1-Inputs!$C$28)</f>
        <v/>
      </c>
      <c r="D45" s="39">
        <f>D44*(1-Inputs!$C$28)</f>
        <v/>
      </c>
      <c r="E45" s="39">
        <f>E44*(1-Inputs!$C$28)</f>
        <v/>
      </c>
      <c r="F45" s="39">
        <f>F44*(1-Inputs!$C$28)</f>
        <v/>
      </c>
      <c r="G45" s="39">
        <f>G44*(1-Inputs!$C$28)</f>
        <v/>
      </c>
      <c r="H45" s="14">
        <f>SUM(C45:G45)</f>
        <v/>
      </c>
    </row>
    <row r="46">
      <c r="B46" s="42" t="inlineStr">
        <is>
          <t>Gross Profit (22%)</t>
        </is>
      </c>
      <c r="C46" s="39">
        <f>C44-C45</f>
        <v/>
      </c>
      <c r="D46" s="39">
        <f>D44-D45</f>
        <v/>
      </c>
      <c r="E46" s="39">
        <f>E44-E45</f>
        <v/>
      </c>
      <c r="F46" s="39">
        <f>F44-F45</f>
        <v/>
      </c>
      <c r="G46" s="39">
        <f>G44-G45</f>
        <v/>
      </c>
      <c r="H46" s="14">
        <f>SUM(C46:G46)</f>
        <v/>
      </c>
    </row>
    <row r="47">
      <c r="B47" s="6" t="inlineStr">
        <is>
          <t>(-) Bid Prep ($750/bid)</t>
        </is>
      </c>
      <c r="C47" s="39">
        <f>(C9+C10+C11+C12)*Inputs!$C$29</f>
        <v/>
      </c>
      <c r="D47" s="39">
        <f>(D9+D10+D11+D12)*Inputs!$C$29</f>
        <v/>
      </c>
      <c r="E47" s="39">
        <f>(E9+E10+E11+E12)*Inputs!$C$29</f>
        <v/>
      </c>
      <c r="F47" s="39">
        <f>(F9+F10+F11+F12)*Inputs!$C$29</f>
        <v/>
      </c>
      <c r="G47" s="39">
        <f>(G9+G10+G11+G12)*Inputs!$C$29</f>
        <v/>
      </c>
      <c r="H47" s="14">
        <f>SUM(C47:G47)</f>
        <v/>
      </c>
    </row>
    <row r="48">
      <c r="B48" s="6" t="inlineStr">
        <is>
          <t>(-) Fulfillment/Compliance (3%)</t>
        </is>
      </c>
      <c r="C48" s="39">
        <f>C44*Inputs!$C$30</f>
        <v/>
      </c>
      <c r="D48" s="39">
        <f>D44*Inputs!$C$30</f>
        <v/>
      </c>
      <c r="E48" s="39">
        <f>E44*Inputs!$C$30</f>
        <v/>
      </c>
      <c r="F48" s="39">
        <f>F44*Inputs!$C$30</f>
        <v/>
      </c>
      <c r="G48" s="39">
        <f>G44*Inputs!$C$30</f>
        <v/>
      </c>
      <c r="H48" s="14">
        <f>SUM(C48:G48)</f>
        <v/>
      </c>
    </row>
    <row r="49">
      <c r="B49" s="6" t="inlineStr">
        <is>
          <t>(-) Program Costs</t>
        </is>
      </c>
      <c r="C49" s="39">
        <f>Inputs!C38</f>
        <v/>
      </c>
      <c r="D49" s="39">
        <f>Inputs!D38</f>
        <v/>
      </c>
      <c r="E49" s="39">
        <f>Inputs!E38</f>
        <v/>
      </c>
      <c r="F49" s="39">
        <f>Inputs!F38</f>
        <v/>
      </c>
      <c r="G49" s="39">
        <f>Inputs!G38</f>
        <v/>
      </c>
      <c r="H49" s="14">
        <f>SUM(C49:G49)</f>
        <v/>
      </c>
    </row>
    <row r="50">
      <c r="B50" s="24" t="inlineStr">
        <is>
          <t>OWNER EARNINGS</t>
        </is>
      </c>
      <c r="C50" s="41">
        <f>C46-C47-C48-C49</f>
        <v/>
      </c>
      <c r="D50" s="41">
        <f>D46-D47-D48-D49</f>
        <v/>
      </c>
      <c r="E50" s="41">
        <f>E46-E47-E48-E49</f>
        <v/>
      </c>
      <c r="F50" s="41">
        <f>F46-F47-F48-F49</f>
        <v/>
      </c>
      <c r="G50" s="41">
        <f>G46-G47-G48-G49</f>
        <v/>
      </c>
      <c r="H50" s="41">
        <f>SUM(C50:G50)</f>
        <v/>
      </c>
      <c r="I50" s="26" t="n"/>
    </row>
    <row r="51">
      <c r="B51" s="6" t="inlineStr">
        <is>
          <t>Cumulative Owner Earnings</t>
        </is>
      </c>
      <c r="C51" s="39">
        <f>C50</f>
        <v/>
      </c>
      <c r="D51" s="39">
        <f>C51+D50</f>
        <v/>
      </c>
      <c r="E51" s="39">
        <f>D51+E50</f>
        <v/>
      </c>
      <c r="F51" s="39">
        <f>E51+F50</f>
        <v/>
      </c>
      <c r="G51" s="39">
        <f>F51+G50</f>
        <v/>
      </c>
      <c r="H51" s="14">
        <f>G51</f>
        <v/>
      </c>
    </row>
    <row r="52">
      <c r="B52" s="6" t="inlineStr">
        <is>
          <t>OE Margin</t>
        </is>
      </c>
      <c r="C52" s="43">
        <f>IF(C44&gt;0,C50/C44,0)</f>
        <v/>
      </c>
      <c r="D52" s="43">
        <f>IF(D44&gt;0,D50/D44,0)</f>
        <v/>
      </c>
      <c r="E52" s="43">
        <f>IF(E44&gt;0,E50/E44,0)</f>
        <v/>
      </c>
      <c r="F52" s="43">
        <f>IF(F44&gt;0,F50/F44,0)</f>
        <v/>
      </c>
      <c r="G52" s="43">
        <f>IF(G44&gt;0,G50/G44,0)</f>
        <v/>
      </c>
      <c r="H52" s="7" t="n"/>
    </row>
    <row r="113">
      <c r="B113" s="5" t="inlineStr">
        <is>
          <t>PORTFOLIO SHIFT</t>
        </is>
      </c>
      <c r="C113" s="2" t="n"/>
      <c r="D113" s="2" t="n"/>
      <c r="E113" s="2" t="n"/>
      <c r="F113" s="2" t="n"/>
      <c r="G113" s="2" t="n"/>
      <c r="H113" s="2" t="n"/>
      <c r="I113" s="3" t="n"/>
    </row>
    <row r="114">
      <c r="B114" s="11" t="inlineStr">
        <is>
          <t>Tier</t>
        </is>
      </c>
      <c r="C114" s="9" t="inlineStr">
        <is>
          <t>Year 1 %</t>
        </is>
      </c>
      <c r="D114" s="9" t="inlineStr">
        <is>
          <t>Year 5 %</t>
        </is>
      </c>
      <c r="E114" s="12" t="n"/>
      <c r="F114" s="12" t="n"/>
      <c r="G114" s="12" t="n"/>
      <c r="H114" s="12" t="n"/>
      <c r="I114" s="12" t="n"/>
    </row>
    <row r="115">
      <c r="B115" s="6" t="inlineStr">
        <is>
          <t>Micro</t>
        </is>
      </c>
      <c r="C115" s="43">
        <f>IF(C39&gt;0,C33/C39,0)</f>
        <v/>
      </c>
      <c r="D115" s="43">
        <f>IF(G39&gt;0,G33/G39,0)</f>
        <v/>
      </c>
    </row>
    <row r="116">
      <c r="B116" s="6" t="inlineStr">
        <is>
          <t>Simplified</t>
        </is>
      </c>
      <c r="C116" s="43">
        <f>IF(C39&gt;0,C34/C39,0)</f>
        <v/>
      </c>
      <c r="D116" s="43">
        <f>IF(G39&gt;0,G34/G39,0)</f>
        <v/>
      </c>
    </row>
    <row r="117">
      <c r="B117" s="6" t="inlineStr">
        <is>
          <t>Set-Aside</t>
        </is>
      </c>
      <c r="C117" s="43">
        <f>IF(C39&gt;0,C35/C39,0)</f>
        <v/>
      </c>
      <c r="D117" s="43">
        <f>IF(G39&gt;0,G35/G39,0)</f>
        <v/>
      </c>
    </row>
    <row r="118">
      <c r="B118" s="6" t="inlineStr">
        <is>
          <t>SLED</t>
        </is>
      </c>
      <c r="C118" s="43">
        <f>IF(C39&gt;0,C36/C39,0)</f>
        <v/>
      </c>
      <c r="D118" s="43">
        <f>IF(G39&gt;0,G36/G39,0)</f>
        <v/>
      </c>
    </row>
    <row r="119">
      <c r="B119" s="6" t="inlineStr">
        <is>
          <t>Sealed Bid</t>
        </is>
      </c>
      <c r="C119" s="43">
        <f>IF(C39&gt;0,C37/C39,0)</f>
        <v/>
      </c>
      <c r="D119" s="43">
        <f>IF(G39&gt;0,G37/G39,0)</f>
        <v/>
      </c>
    </row>
    <row r="120">
      <c r="B120" s="6" t="inlineStr">
        <is>
          <t>Renewals</t>
        </is>
      </c>
      <c r="C120" s="43">
        <f>IF(C39&gt;0,C38/C39,0)</f>
        <v/>
      </c>
      <c r="D120" s="43">
        <f>IF(G39&gt;0,G38/G39,0)</f>
        <v/>
      </c>
    </row>
  </sheetData>
  <mergeCells count="11">
    <mergeCell ref="B15:I15"/>
    <mergeCell ref="B25:I25"/>
    <mergeCell ref="B6:I6"/>
    <mergeCell ref="B24:I24"/>
    <mergeCell ref="B2:I2"/>
    <mergeCell ref="B42:I42"/>
    <mergeCell ref="B3:I3"/>
    <mergeCell ref="B5:I5"/>
    <mergeCell ref="B31:I31"/>
    <mergeCell ref="B41:I41"/>
    <mergeCell ref="B113:I11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78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</cols>
  <sheetData>
    <row r="2" ht="20" customHeight="1">
      <c r="B2" s="1" t="inlineStr">
        <is>
          <t>Newport Wholesalers — GovCon Financial Model</t>
        </is>
      </c>
      <c r="C2" s="2" t="n"/>
      <c r="D2" s="2" t="n"/>
      <c r="E2" s="2" t="n"/>
      <c r="F2" s="2" t="n"/>
      <c r="G2" s="2" t="n"/>
      <c r="H2" s="3" t="n"/>
    </row>
    <row r="3">
      <c r="B3" s="4" t="inlineStr">
        <is>
          <t>5-Year Projection | February 2026</t>
        </is>
      </c>
      <c r="C3" s="2" t="n"/>
      <c r="D3" s="2" t="n"/>
      <c r="E3" s="2" t="n"/>
      <c r="F3" s="2" t="n"/>
      <c r="G3" s="2" t="n"/>
      <c r="H3" s="3" t="n"/>
    </row>
    <row r="5">
      <c r="B5" s="5" t="inlineStr">
        <is>
          <t>ADDRESSABLE MARKET WATERFALL</t>
        </is>
      </c>
      <c r="C5" s="2" t="n"/>
      <c r="D5" s="2" t="n"/>
      <c r="E5" s="2" t="n"/>
      <c r="F5" s="2" t="n"/>
      <c r="G5" s="2" t="n"/>
      <c r="H5" s="3" t="n"/>
    </row>
    <row r="6">
      <c r="B6" s="9" t="inlineStr">
        <is>
          <t>Level</t>
        </is>
      </c>
      <c r="C6" s="9" t="inlineStr">
        <is>
          <t>Scope</t>
        </is>
      </c>
      <c r="D6" s="9" t="inlineStr">
        <is>
          <t>Annual $</t>
        </is>
      </c>
      <c r="E6" s="9" t="inlineStr">
        <is>
          <t># Awards</t>
        </is>
      </c>
      <c r="F6" s="9" t="inlineStr">
        <is>
          <t>Avg Size</t>
        </is>
      </c>
      <c r="G6" s="9" t="inlineStr">
        <is>
          <t>Newport Fit</t>
        </is>
      </c>
      <c r="H6" s="12" t="n"/>
    </row>
    <row r="7">
      <c r="B7" s="15" t="inlineStr">
        <is>
          <t>Federal Food (National)</t>
        </is>
      </c>
      <c r="C7" s="44" t="inlineStr">
        <is>
          <t>All NAICS 311/424</t>
        </is>
      </c>
      <c r="D7" s="45" t="n">
        <v>7200000000</v>
      </c>
      <c r="E7" s="44" t="inlineStr">
        <is>
          <t>~500K</t>
        </is>
      </c>
      <c r="F7" s="44" t="inlineStr">
        <is>
          <t>$14.4K</t>
        </is>
      </c>
      <c r="G7" s="46" t="inlineStr">
        <is>
          <t>NOT REALISTIC</t>
        </is>
      </c>
      <c r="H7" s="17" t="n"/>
    </row>
    <row r="8">
      <c r="B8" s="20" t="inlineStr">
        <is>
          <t>Federal (&lt;$350K)</t>
        </is>
      </c>
      <c r="C8" s="47" t="inlineStr">
        <is>
          <t>Realistic bid range</t>
        </is>
      </c>
      <c r="D8" s="48" t="n">
        <v>2100000000</v>
      </c>
      <c r="E8" s="47" t="inlineStr">
        <is>
          <t>~300K</t>
        </is>
      </c>
      <c r="F8" s="47" t="inlineStr">
        <is>
          <t>$7K</t>
        </is>
      </c>
      <c r="G8" s="49" t="inlineStr">
        <is>
          <t>Too broad</t>
        </is>
      </c>
      <c r="H8" s="12" t="n"/>
    </row>
    <row r="9">
      <c r="B9" s="15" t="inlineStr">
        <is>
          <t>Florida Federal (&lt;$350K)</t>
        </is>
      </c>
      <c r="C9" s="44" t="inlineStr">
        <is>
          <t>Home state</t>
        </is>
      </c>
      <c r="D9" s="45" t="n">
        <v>85000000</v>
      </c>
      <c r="E9" s="44" t="inlineStr">
        <is>
          <t>39,685</t>
        </is>
      </c>
      <c r="F9" s="44" t="inlineStr">
        <is>
          <t>$2.1K</t>
        </is>
      </c>
      <c r="G9" s="50" t="inlineStr">
        <is>
          <t>ADDRESSABLE</t>
        </is>
      </c>
      <c r="H9" s="17" t="n"/>
    </row>
    <row r="10">
      <c r="B10" s="20" t="inlineStr">
        <is>
          <t>Southeast (&lt;$350K)</t>
        </is>
      </c>
      <c r="C10" s="47" t="inlineStr">
        <is>
          <t>FL+GA+SC+AL+MS</t>
        </is>
      </c>
      <c r="D10" s="48" t="n">
        <v>179000000</v>
      </c>
      <c r="E10" s="47" t="inlineStr">
        <is>
          <t>~80K</t>
        </is>
      </c>
      <c r="F10" s="47" t="inlineStr">
        <is>
          <t>$2.2K</t>
        </is>
      </c>
      <c r="G10" s="51" t="inlineStr">
        <is>
          <t>IF multi-state</t>
        </is>
      </c>
      <c r="H10" s="12" t="n"/>
    </row>
    <row r="11">
      <c r="B11" s="15" t="inlineStr">
        <is>
          <t>FL + SLED Combined</t>
        </is>
      </c>
      <c r="C11" s="44" t="inlineStr">
        <is>
          <t>Fed + State/Local</t>
        </is>
      </c>
      <c r="D11" s="45" t="n">
        <v>135000000</v>
      </c>
      <c r="E11" s="44" t="inlineStr">
        <is>
          <t>~55K</t>
        </is>
      </c>
      <c r="F11" s="44" t="inlineStr">
        <is>
          <t>$2.5K</t>
        </is>
      </c>
      <c r="G11" s="50" t="inlineStr">
        <is>
          <t>TOTAL OPP</t>
        </is>
      </c>
      <c r="H11" s="17" t="n"/>
    </row>
    <row r="13">
      <c r="B13" s="11" t="inlineStr">
        <is>
          <t>Chart Data</t>
        </is>
      </c>
      <c r="C13" s="9" t="inlineStr">
        <is>
          <t>$M Annual</t>
        </is>
      </c>
    </row>
    <row r="14">
      <c r="B14" s="6" t="inlineStr">
        <is>
          <t>National (&lt;$350K)</t>
        </is>
      </c>
      <c r="C14" s="38" t="n">
        <v>2100</v>
      </c>
    </row>
    <row r="15">
      <c r="B15" s="6" t="inlineStr">
        <is>
          <t>Florida</t>
        </is>
      </c>
      <c r="C15" s="38" t="n">
        <v>85</v>
      </c>
    </row>
    <row r="16">
      <c r="B16" s="6" t="inlineStr">
        <is>
          <t>Southeast</t>
        </is>
      </c>
      <c r="C16" s="38" t="n">
        <v>179</v>
      </c>
    </row>
    <row r="17">
      <c r="B17" s="6" t="inlineStr">
        <is>
          <t>FL+SLED</t>
        </is>
      </c>
      <c r="C17" s="38" t="n">
        <v>135</v>
      </c>
    </row>
    <row r="18">
      <c r="B18" s="6" t="inlineStr">
        <is>
          <t>Confectionery Gap</t>
        </is>
      </c>
      <c r="C18" s="38" t="n">
        <v>55</v>
      </c>
    </row>
    <row r="34">
      <c r="B34" s="5" t="inlineStr">
        <is>
          <t>REAL CONTRACT EXAMPLES</t>
        </is>
      </c>
      <c r="C34" s="2" t="n"/>
      <c r="D34" s="2" t="n"/>
      <c r="E34" s="2" t="n"/>
      <c r="F34" s="2" t="n"/>
      <c r="G34" s="2" t="n"/>
      <c r="H34" s="3" t="n"/>
    </row>
    <row r="35">
      <c r="B35" s="9" t="inlineStr">
        <is>
          <t>Tier</t>
        </is>
      </c>
      <c r="C35" s="9" t="inlineStr">
        <is>
          <t>Agency</t>
        </is>
      </c>
      <c r="D35" s="9" t="inlineStr">
        <is>
          <t>Value</t>
        </is>
      </c>
      <c r="E35" s="9" t="inlineStr">
        <is>
          <t>Location</t>
        </is>
      </c>
      <c r="F35" s="9" t="inlineStr">
        <is>
          <t>Product</t>
        </is>
      </c>
      <c r="G35" s="9" t="inlineStr">
        <is>
          <t>Frequency</t>
        </is>
      </c>
      <c r="H35" s="12" t="n"/>
    </row>
    <row r="36" ht="24" customHeight="1">
      <c r="B36" s="47" t="inlineStr">
        <is>
          <t>Micro</t>
        </is>
      </c>
      <c r="C36" s="20" t="inlineStr">
        <is>
          <t>USDA Forest Service</t>
        </is>
      </c>
      <c r="D36" s="52" t="inlineStr">
        <is>
          <t>$3,800</t>
        </is>
      </c>
      <c r="E36" s="20" t="inlineStr">
        <is>
          <t>Ocala NF, FL</t>
        </is>
      </c>
      <c r="F36" s="20" t="inlineStr">
        <is>
          <t>Trail mix/snacks</t>
        </is>
      </c>
      <c r="G36" s="47" t="inlineStr">
        <is>
          <t>Quarterly</t>
        </is>
      </c>
      <c r="H36" s="12" t="n"/>
    </row>
    <row r="37" ht="24" customHeight="1">
      <c r="B37" s="44" t="inlineStr">
        <is>
          <t>Micro</t>
        </is>
      </c>
      <c r="C37" s="15" t="inlineStr">
        <is>
          <t>VA Medical Center</t>
        </is>
      </c>
      <c r="D37" s="53" t="inlineStr">
        <is>
          <t>$4,200</t>
        </is>
      </c>
      <c r="E37" s="15" t="inlineStr">
        <is>
          <t>Bay Pines, FL</t>
        </is>
      </c>
      <c r="F37" s="15" t="inlineStr">
        <is>
          <t>Candy/confectionery</t>
        </is>
      </c>
      <c r="G37" s="44" t="inlineStr">
        <is>
          <t>Monthly</t>
        </is>
      </c>
      <c r="H37" s="17" t="n"/>
    </row>
    <row r="38" ht="24" customHeight="1">
      <c r="B38" s="47" t="inlineStr">
        <is>
          <t>Micro</t>
        </is>
      </c>
      <c r="C38" s="20" t="inlineStr">
        <is>
          <t>DeCA Commissary</t>
        </is>
      </c>
      <c r="D38" s="52" t="inlineStr">
        <is>
          <t>$8,500</t>
        </is>
      </c>
      <c r="E38" s="20" t="inlineStr">
        <is>
          <t>MacDill AFB, FL</t>
        </is>
      </c>
      <c r="F38" s="20" t="inlineStr">
        <is>
          <t>Snack assortment</t>
        </is>
      </c>
      <c r="G38" s="47" t="inlineStr">
        <is>
          <t>Monthly</t>
        </is>
      </c>
      <c r="H38" s="12" t="n"/>
    </row>
    <row r="39" ht="24" customHeight="1">
      <c r="B39" s="44" t="inlineStr">
        <is>
          <t>Micro</t>
        </is>
      </c>
      <c r="C39" s="15" t="inlineStr">
        <is>
          <t>DOD Elementary</t>
        </is>
      </c>
      <c r="D39" s="53" t="inlineStr">
        <is>
          <t>$5,100</t>
        </is>
      </c>
      <c r="E39" s="15" t="inlineStr">
        <is>
          <t>Patrick SFB, FL</t>
        </is>
      </c>
      <c r="F39" s="15" t="inlineStr">
        <is>
          <t>Snack packs</t>
        </is>
      </c>
      <c r="G39" s="44" t="inlineStr">
        <is>
          <t>Weekly</t>
        </is>
      </c>
      <c r="H39" s="17" t="n"/>
    </row>
    <row r="40" ht="24" customHeight="1">
      <c r="B40" s="47" t="inlineStr">
        <is>
          <t>Set-Aside</t>
        </is>
      </c>
      <c r="C40" s="20" t="inlineStr">
        <is>
          <t>BOP Coleman</t>
        </is>
      </c>
      <c r="D40" s="52" t="inlineStr">
        <is>
          <t>$28,000</t>
        </is>
      </c>
      <c r="E40" s="20" t="inlineStr">
        <is>
          <t>Sumterville, FL</t>
        </is>
      </c>
      <c r="F40" s="20" t="inlineStr">
        <is>
          <t>Commissary snacks</t>
        </is>
      </c>
      <c r="G40" s="47" t="inlineStr">
        <is>
          <t>Monthly</t>
        </is>
      </c>
      <c r="H40" s="12" t="n"/>
    </row>
    <row r="41" ht="24" customHeight="1">
      <c r="B41" s="44" t="inlineStr">
        <is>
          <t>Set-Aside</t>
        </is>
      </c>
      <c r="C41" s="15" t="inlineStr">
        <is>
          <t>BOP Miami FDC</t>
        </is>
      </c>
      <c r="D41" s="53" t="inlineStr">
        <is>
          <t>$35,000</t>
        </is>
      </c>
      <c r="E41" s="15" t="inlineStr">
        <is>
          <t>Miami, FL</t>
        </is>
      </c>
      <c r="F41" s="15" t="inlineStr">
        <is>
          <t>Dry goods bundle</t>
        </is>
      </c>
      <c r="G41" s="44" t="inlineStr">
        <is>
          <t>Monthly</t>
        </is>
      </c>
      <c r="H41" s="17" t="n"/>
    </row>
    <row r="42" ht="24" customHeight="1">
      <c r="B42" s="47" t="inlineStr">
        <is>
          <t>Simplified</t>
        </is>
      </c>
      <c r="C42" s="20" t="inlineStr">
        <is>
          <t>School District</t>
        </is>
      </c>
      <c r="D42" s="52" t="inlineStr">
        <is>
          <t>$65,000</t>
        </is>
      </c>
      <c r="E42" s="20" t="inlineStr">
        <is>
          <t>Broward County</t>
        </is>
      </c>
      <c r="F42" s="20" t="inlineStr">
        <is>
          <t>Snack program</t>
        </is>
      </c>
      <c r="G42" s="47" t="inlineStr">
        <is>
          <t>Annual</t>
        </is>
      </c>
      <c r="H42" s="12" t="n"/>
    </row>
    <row r="43" ht="24" customHeight="1">
      <c r="B43" s="44" t="inlineStr">
        <is>
          <t>Simplified</t>
        </is>
      </c>
      <c r="C43" s="15" t="inlineStr">
        <is>
          <t>State DOC</t>
        </is>
      </c>
      <c r="D43" s="53" t="inlineStr">
        <is>
          <t>$85,000</t>
        </is>
      </c>
      <c r="E43" s="15" t="inlineStr">
        <is>
          <t>FL Corrections</t>
        </is>
      </c>
      <c r="F43" s="15" t="inlineStr">
        <is>
          <t>Commissary supply</t>
        </is>
      </c>
      <c r="G43" s="44" t="inlineStr">
        <is>
          <t>Annual</t>
        </is>
      </c>
      <c r="H43" s="17" t="n"/>
    </row>
    <row r="44" ht="24" customHeight="1">
      <c r="B44" s="47" t="inlineStr">
        <is>
          <t>SLED</t>
        </is>
      </c>
      <c r="C44" s="20" t="inlineStr">
        <is>
          <t>County Gov</t>
        </is>
      </c>
      <c r="D44" s="52" t="inlineStr">
        <is>
          <t>$42,000</t>
        </is>
      </c>
      <c r="E44" s="20" t="inlineStr">
        <is>
          <t>Palm Beach, FL</t>
        </is>
      </c>
      <c r="F44" s="20" t="inlineStr">
        <is>
          <t>Event concessions</t>
        </is>
      </c>
      <c r="G44" s="47" t="inlineStr">
        <is>
          <t>Seasonal</t>
        </is>
      </c>
      <c r="H44" s="12" t="n"/>
    </row>
    <row r="45" ht="24" customHeight="1">
      <c r="B45" s="44" t="inlineStr">
        <is>
          <t>SLED</t>
        </is>
      </c>
      <c r="C45" s="15" t="inlineStr">
        <is>
          <t>State University</t>
        </is>
      </c>
      <c r="D45" s="53" t="inlineStr">
        <is>
          <t>$55,000</t>
        </is>
      </c>
      <c r="E45" s="15" t="inlineStr">
        <is>
          <t>FSU, Tallahassee</t>
        </is>
      </c>
      <c r="F45" s="15" t="inlineStr">
        <is>
          <t>Vending supply</t>
        </is>
      </c>
      <c r="G45" s="44" t="inlineStr">
        <is>
          <t>Annual</t>
        </is>
      </c>
      <c r="H45" s="17" t="n"/>
    </row>
    <row r="46" ht="24" customHeight="1">
      <c r="B46" s="47" t="inlineStr">
        <is>
          <t>Sealed Bid</t>
        </is>
      </c>
      <c r="C46" s="20" t="inlineStr">
        <is>
          <t>DeCA Regional</t>
        </is>
      </c>
      <c r="D46" s="52" t="inlineStr">
        <is>
          <t>$220,000</t>
        </is>
      </c>
      <c r="E46" s="20" t="inlineStr">
        <is>
          <t>SE Region</t>
        </is>
      </c>
      <c r="F46" s="20" t="inlineStr">
        <is>
          <t>Full confectionery line</t>
        </is>
      </c>
      <c r="G46" s="47" t="inlineStr">
        <is>
          <t>Annual</t>
        </is>
      </c>
      <c r="H46" s="12" t="n"/>
    </row>
    <row r="48">
      <c r="B48" s="5" t="inlineStr">
        <is>
          <t>CATEGORY ADVANTAGE</t>
        </is>
      </c>
      <c r="C48" s="2" t="n"/>
      <c r="D48" s="2" t="n"/>
      <c r="E48" s="2" t="n"/>
      <c r="F48" s="2" t="n"/>
      <c r="G48" s="2" t="n"/>
      <c r="H48" s="3" t="n"/>
    </row>
    <row r="49">
      <c r="B49" s="9" t="inlineStr">
        <is>
          <t>PSC Category</t>
        </is>
      </c>
      <c r="C49" s="9" t="inlineStr">
        <is>
          <t>National TAM</t>
        </is>
      </c>
      <c r="D49" s="9" t="inlineStr">
        <is>
          <t>FL Competition</t>
        </is>
      </c>
      <c r="E49" s="9" t="inlineStr">
        <is>
          <t>Gap</t>
        </is>
      </c>
      <c r="F49" s="9" t="inlineStr">
        <is>
          <t>Priority</t>
        </is>
      </c>
      <c r="G49" s="12" t="n"/>
      <c r="H49" s="12" t="n"/>
    </row>
    <row r="50">
      <c r="B50" s="20" t="inlineStr">
        <is>
          <t>8925 Confectionery/Nuts</t>
        </is>
      </c>
      <c r="C50" s="48" t="n">
        <v>55000000</v>
      </c>
      <c r="D50" s="48" t="n">
        <v>412000</v>
      </c>
      <c r="E50" s="48">
        <f>C50-D50</f>
        <v/>
      </c>
      <c r="F50" s="54" t="inlineStr">
        <is>
          <t>WIDE OPEN</t>
        </is>
      </c>
      <c r="G50" s="12" t="n"/>
      <c r="H50" s="12" t="n"/>
    </row>
    <row r="51">
      <c r="B51" s="15" t="inlineStr">
        <is>
          <t>8940 Snack Foods</t>
        </is>
      </c>
      <c r="C51" s="45" t="n">
        <v>38000000</v>
      </c>
      <c r="D51" s="45" t="n">
        <v>2100000</v>
      </c>
      <c r="E51" s="45">
        <f>C51-D51</f>
        <v/>
      </c>
      <c r="F51" s="29" t="inlineStr">
        <is>
          <t>Strong</t>
        </is>
      </c>
      <c r="G51" s="17" t="n"/>
      <c r="H51" s="17" t="n"/>
    </row>
    <row r="52">
      <c r="B52" s="20" t="inlineStr">
        <is>
          <t>8950 Bakery/Cereal</t>
        </is>
      </c>
      <c r="C52" s="48" t="n">
        <v>31000000</v>
      </c>
      <c r="D52" s="48" t="n">
        <v>950000</v>
      </c>
      <c r="E52" s="48">
        <f>C52-D52</f>
        <v/>
      </c>
      <c r="F52" s="22" t="inlineStr">
        <is>
          <t>Good</t>
        </is>
      </c>
      <c r="G52" s="12" t="n"/>
      <c r="H52" s="12" t="n"/>
    </row>
    <row r="53">
      <c r="B53" s="15" t="inlineStr">
        <is>
          <t>8945 Beverages (non-alc)</t>
        </is>
      </c>
      <c r="C53" s="45" t="n">
        <v>22000000</v>
      </c>
      <c r="D53" s="45" t="n">
        <v>1800000</v>
      </c>
      <c r="E53" s="45">
        <f>C53-D53</f>
        <v/>
      </c>
      <c r="F53" s="18" t="inlineStr">
        <is>
          <t>Moderate</t>
        </is>
      </c>
      <c r="G53" s="17" t="n"/>
      <c r="H53" s="17" t="n"/>
    </row>
    <row r="70">
      <c r="B70" s="5" t="inlineStr">
        <is>
          <t>COMPETITIVE LANDSCAPE</t>
        </is>
      </c>
      <c r="C70" s="2" t="n"/>
      <c r="D70" s="2" t="n"/>
      <c r="E70" s="2" t="n"/>
      <c r="F70" s="2" t="n"/>
      <c r="G70" s="2" t="n"/>
      <c r="H70" s="3" t="n"/>
    </row>
    <row r="71">
      <c r="B71" s="9" t="inlineStr">
        <is>
          <t>Competitor</t>
        </is>
      </c>
      <c r="C71" s="9" t="inlineStr">
        <is>
          <t>Gov Rev</t>
        </is>
      </c>
      <c r="D71" s="9" t="inlineStr">
        <is>
          <t>Categories</t>
        </is>
      </c>
      <c r="E71" s="9" t="inlineStr">
        <is>
          <t>Strength</t>
        </is>
      </c>
      <c r="F71" s="9" t="inlineStr">
        <is>
          <t>Weakness</t>
        </is>
      </c>
      <c r="G71" s="9" t="inlineStr">
        <is>
          <t>Threat</t>
        </is>
      </c>
      <c r="H71" s="12" t="n"/>
    </row>
    <row r="72">
      <c r="B72" s="20" t="inlineStr">
        <is>
          <t>Oakes Farms</t>
        </is>
      </c>
      <c r="C72" s="47" t="inlineStr">
        <is>
          <t>$26M</t>
        </is>
      </c>
      <c r="D72" s="47" t="inlineStr">
        <is>
          <t>Produce/meats</t>
        </is>
      </c>
      <c r="E72" s="47" t="inlineStr">
        <is>
          <t>Established</t>
        </is>
      </c>
      <c r="F72" s="47" t="inlineStr">
        <is>
          <t>No confectionery</t>
        </is>
      </c>
      <c r="G72" s="21" t="inlineStr">
        <is>
          <t>LOW</t>
        </is>
      </c>
      <c r="H72" s="12" t="n"/>
    </row>
    <row r="73">
      <c r="B73" s="15" t="inlineStr">
        <is>
          <t>US Foods</t>
        </is>
      </c>
      <c r="C73" s="44" t="inlineStr">
        <is>
          <t>$24M</t>
        </is>
      </c>
      <c r="D73" s="44" t="inlineStr">
        <is>
          <t>Full-line</t>
        </is>
      </c>
      <c r="E73" s="44" t="inlineStr">
        <is>
          <t>Scale</t>
        </is>
      </c>
      <c r="F73" s="44" t="inlineStr">
        <is>
          <t>Ignores micro</t>
        </is>
      </c>
      <c r="G73" s="16" t="inlineStr">
        <is>
          <t>LOW</t>
        </is>
      </c>
      <c r="H73" s="17" t="n"/>
    </row>
    <row r="74">
      <c r="B74" s="20" t="inlineStr">
        <is>
          <t>Rainmaker Inc.</t>
        </is>
      </c>
      <c r="C74" s="47" t="inlineStr">
        <is>
          <t>$5M</t>
        </is>
      </c>
      <c r="D74" s="47" t="inlineStr">
        <is>
          <t>DOJ/BOP</t>
        </is>
      </c>
      <c r="E74" s="47" t="inlineStr">
        <is>
          <t>Incumbent</t>
        </is>
      </c>
      <c r="F74" s="47" t="inlineStr">
        <is>
          <t>Narrow catalog</t>
        </is>
      </c>
      <c r="G74" s="55" t="inlineStr">
        <is>
          <t>TARGET</t>
        </is>
      </c>
      <c r="H74" s="12" t="n"/>
    </row>
    <row r="75">
      <c r="B75" s="15" t="inlineStr">
        <is>
          <t>Sysco Gov</t>
        </is>
      </c>
      <c r="C75" s="44" t="inlineStr">
        <is>
          <t>$18M</t>
        </is>
      </c>
      <c r="D75" s="44" t="inlineStr">
        <is>
          <t>Institutional</t>
        </is>
      </c>
      <c r="E75" s="44" t="inlineStr">
        <is>
          <t>National</t>
        </is>
      </c>
      <c r="F75" s="44" t="inlineStr">
        <is>
          <t>Not micro-focused</t>
        </is>
      </c>
      <c r="G75" s="16" t="inlineStr">
        <is>
          <t>LOW</t>
        </is>
      </c>
      <c r="H75" s="17" t="n"/>
    </row>
    <row r="76">
      <c r="B76" s="20" t="inlineStr">
        <is>
          <t>Local Distributors</t>
        </is>
      </c>
      <c r="C76" s="47" t="inlineStr">
        <is>
          <t>$8M</t>
        </is>
      </c>
      <c r="D76" s="47" t="inlineStr">
        <is>
          <t>Mixed</t>
        </is>
      </c>
      <c r="E76" s="47" t="inlineStr">
        <is>
          <t>Relationships</t>
        </is>
      </c>
      <c r="F76" s="47" t="inlineStr">
        <is>
          <t>No scale</t>
        </is>
      </c>
      <c r="G76" s="51" t="inlineStr">
        <is>
          <t>MEDIUM</t>
        </is>
      </c>
      <c r="H76" s="12" t="n"/>
    </row>
    <row r="78">
      <c r="B78" s="33" t="inlineStr">
        <is>
          <t>Sources: USASpending.gov API, FPDS-NG, SAM.gov, FL MyFloridaMarketplace. Contract examples are representative composites based on actual award data. Feb 2026.</t>
        </is>
      </c>
      <c r="C78" s="2" t="n"/>
      <c r="D78" s="2" t="n"/>
      <c r="E78" s="2" t="n"/>
      <c r="F78" s="2" t="n"/>
      <c r="G78" s="2" t="n"/>
      <c r="H78" s="3" t="n"/>
    </row>
  </sheetData>
  <mergeCells count="7">
    <mergeCell ref="B70:H70"/>
    <mergeCell ref="B2:H2"/>
    <mergeCell ref="B48:H48"/>
    <mergeCell ref="B78:H78"/>
    <mergeCell ref="B3:H3"/>
    <mergeCell ref="B5:H5"/>
    <mergeCell ref="B34:H3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4" customWidth="1" min="3" max="3"/>
    <col width="32" customWidth="1" min="4" max="4"/>
    <col width="32" customWidth="1" min="5" max="5"/>
  </cols>
  <sheetData>
    <row r="2" ht="20" customHeight="1">
      <c r="B2" s="1" t="inlineStr">
        <is>
          <t>Newport Wholesalers — GovCon Financial Model</t>
        </is>
      </c>
      <c r="C2" s="2" t="n"/>
      <c r="D2" s="2" t="n"/>
      <c r="E2" s="3" t="n"/>
    </row>
    <row r="3">
      <c r="B3" s="4" t="inlineStr">
        <is>
          <t>5-Year Projection | February 2026</t>
        </is>
      </c>
      <c r="C3" s="2" t="n"/>
      <c r="D3" s="2" t="n"/>
      <c r="E3" s="3" t="n"/>
    </row>
    <row r="5">
      <c r="B5" s="5" t="inlineStr">
        <is>
          <t>CRITICAL DECISIONS THAT CHANGE THE MODEL</t>
        </is>
      </c>
      <c r="C5" s="2" t="n"/>
      <c r="D5" s="2" t="n"/>
      <c r="E5" s="3" t="n"/>
    </row>
    <row r="6">
      <c r="B6" s="9" t="inlineStr">
        <is>
          <t>Priority</t>
        </is>
      </c>
      <c r="C6" s="9" t="inlineStr">
        <is>
          <t>Question</t>
        </is>
      </c>
      <c r="D6" s="9" t="inlineStr">
        <is>
          <t>If Yes</t>
        </is>
      </c>
      <c r="E6" s="9" t="inlineStr">
        <is>
          <t>If No</t>
        </is>
      </c>
    </row>
    <row r="7" ht="40" customHeight="1">
      <c r="B7" s="46" t="inlineStr">
        <is>
          <t>1 HIGHEST</t>
        </is>
      </c>
      <c r="C7" s="56" t="inlineStr">
        <is>
          <t>Can Newport profitably fulfill orders under $5,200?</t>
        </is>
      </c>
      <c r="D7" s="57" t="inlineStr">
        <is>
          <t>Micro channel opens (83% of awards). Credibility ramp starts.</t>
        </is>
      </c>
      <c r="E7" s="58" t="inlineStr">
        <is>
          <t>Must skip to Simplified - harder, slower entry path</t>
        </is>
      </c>
    </row>
    <row r="8" ht="40" customHeight="1">
      <c r="B8" s="55" t="inlineStr">
        <is>
          <t>2 HIGHEST</t>
        </is>
      </c>
      <c r="C8" s="59" t="inlineStr">
        <is>
          <t>Eligible for SDB/HUBZone/8(a) set-aside?</t>
        </is>
      </c>
      <c r="D8" s="60" t="inlineStr">
        <is>
          <t>Win rates 28%+, margins 25%. Available from Day 1.</t>
        </is>
      </c>
      <c r="E8" s="61" t="inlineStr">
        <is>
          <t>Open competition only - lower win rates, slower ramp</t>
        </is>
      </c>
    </row>
    <row r="9" ht="40" customHeight="1">
      <c r="B9" s="62" t="inlineStr">
        <is>
          <t>3 HIGH</t>
        </is>
      </c>
      <c r="C9" s="56" t="inlineStr">
        <is>
          <t>Delivery radius from FL warehouses?</t>
        </is>
      </c>
      <c r="D9" s="57" t="inlineStr">
        <is>
          <t>FL only = $85M. SE region = $179M. Determines total addressable.</t>
        </is>
      </c>
      <c r="E9" s="58" t="inlineStr">
        <is>
          <t>We right-size model to actual reach</t>
        </is>
      </c>
    </row>
    <row r="10" ht="40" customHeight="1">
      <c r="B10" s="63" t="inlineStr">
        <is>
          <t>4 HIGH</t>
        </is>
      </c>
      <c r="C10" s="59" t="inlineStr">
        <is>
          <t>Existing food safety certs (SQF/GFSI)?</t>
        </is>
      </c>
      <c r="D10" s="60" t="inlineStr">
        <is>
          <t>Year 1 investment drops by $23,500</t>
        </is>
      </c>
      <c r="E10" s="61" t="inlineStr">
        <is>
          <t>Biggest single cost variable</t>
        </is>
      </c>
    </row>
    <row r="11" ht="40" customHeight="1">
      <c r="B11" s="62" t="inlineStr">
        <is>
          <t>5 HIGH</t>
        </is>
      </c>
      <c r="C11" s="56" t="inlineStr">
        <is>
          <t>Willing to invest $11K-$47K (Paid Route)?</t>
        </is>
      </c>
      <c r="D11" s="57" t="inlineStr">
        <is>
          <t>Full competitive capability from Day 1. ROI positive by mid-Y2.</t>
        </is>
      </c>
      <c r="E11" s="58" t="inlineStr">
        <is>
          <t>Free route works but 12-18 months slower to traction</t>
        </is>
      </c>
    </row>
    <row r="12" ht="40" customHeight="1">
      <c r="B12" s="31" t="inlineStr">
        <is>
          <t>6 MEDIUM</t>
        </is>
      </c>
      <c r="C12" s="59" t="inlineStr">
        <is>
          <t>How many confectionery/snack/nut SKUs?</t>
        </is>
      </c>
      <c r="D12" s="60" t="inlineStr">
        <is>
          <t>Broader catalog = eligible for more bids across categories</t>
        </is>
      </c>
      <c r="E12" s="61" t="inlineStr">
        <is>
          <t>We focus on strongest categories only</t>
        </is>
      </c>
    </row>
    <row r="13" ht="40" customHeight="1">
      <c r="B13" s="29" t="inlineStr">
        <is>
          <t>7 MEDIUM</t>
        </is>
      </c>
      <c r="C13" s="56" t="inlineStr">
        <is>
          <t>Can add delivery routes to bases/prisons?</t>
        </is>
      </c>
      <c r="D13" s="57" t="inlineStr">
        <is>
          <t>DOJ/BOP channel opens ($5M+ FL). Rainmaker Inc. is beatable.</t>
        </is>
      </c>
      <c r="E13" s="58" t="inlineStr">
        <is>
          <t>Skip DOJ, focus DeCA commissaries instead</t>
        </is>
      </c>
    </row>
    <row r="14" ht="40" customHeight="1">
      <c r="B14" s="31" t="inlineStr">
        <is>
          <t>8 MEDIUM</t>
        </is>
      </c>
      <c r="C14" s="59" t="inlineStr">
        <is>
          <t>Current commercial gross margin?</t>
        </is>
      </c>
      <c r="D14" s="60" t="inlineStr">
        <is>
          <t>Calibrates if gov margins (18-25%) are accretive or dilutive</t>
        </is>
      </c>
      <c r="E14" s="61" t="inlineStr">
        <is>
          <t>May not be worth pursuing if commercial margins much higher</t>
        </is>
      </c>
    </row>
    <row r="15" ht="40" customHeight="1">
      <c r="B15" s="64" t="inlineStr">
        <is>
          <t>9 INFO</t>
        </is>
      </c>
      <c r="C15" s="56" t="inlineStr">
        <is>
          <t>Any prior gov contract experience?</t>
        </is>
      </c>
      <c r="D15" s="57" t="inlineStr">
        <is>
          <t>Past performance references accelerate everything</t>
        </is>
      </c>
      <c r="E15" s="58" t="inlineStr">
        <is>
          <t>Start from zero - typical for new entrants</t>
        </is>
      </c>
    </row>
    <row r="16" ht="40" customHeight="1">
      <c r="B16" s="65" t="inlineStr">
        <is>
          <t>10 INFO</t>
        </is>
      </c>
      <c r="C16" s="59" t="inlineStr">
        <is>
          <t>Goal: supplemental revenue or primary channel?</t>
        </is>
      </c>
      <c r="D16" s="60" t="inlineStr">
        <is>
          <t>Aggressive staffing and investment trajectory</t>
        </is>
      </c>
      <c r="E16" s="61" t="inlineStr">
        <is>
          <t>Conservative side channel approach</t>
        </is>
      </c>
    </row>
  </sheetData>
  <mergeCells count="3">
    <mergeCell ref="B5:E5"/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2026-02-27T21:38:35Z</dcterms:created>
  <dcterms:modified xmlns:dcterms="http://purl.org/dc/terms/" xmlns:xsi="http://www.w3.org/2001/XMLSchema-instance" xsi:type="dcterms:W3CDTF">2026-02-27T21:38:35Z</dcterms:modified>
</cp:coreProperties>
</file>