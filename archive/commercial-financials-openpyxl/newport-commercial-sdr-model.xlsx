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CP Segments" sheetId="2" state="visible" r:id="rId2"/>
    <sheet xmlns:r="http://schemas.openxmlformats.org/officeDocument/2006/relationships" name="Funnel Model" sheetId="3" state="visible" r:id="rId3"/>
    <sheet xmlns:r="http://schemas.openxmlformats.org/officeDocument/2006/relationships" name="Market Analysis" sheetId="4" state="visible" r:id="rId4"/>
    <sheet xmlns:r="http://schemas.openxmlformats.org/officeDocument/2006/relationships" name="Key Ques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&quot;($&quot;#,##0);-"/>
    <numFmt numFmtId="165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1"/>
    </font>
    <font>
      <name val="Calibri"/>
      <b val="1"/>
      <color rgb="00FFFFFF"/>
      <sz val="11"/>
    </font>
    <font>
      <name val="Calibri"/>
      <i val="1"/>
      <color rgb="00808080"/>
      <sz val="10"/>
    </font>
    <font>
      <name val="Calibri"/>
      <b val="1"/>
      <color rgb="00404040"/>
      <sz val="11"/>
    </font>
    <font>
      <name val="Calibri"/>
      <color rgb="000000FF"/>
      <sz val="11"/>
    </font>
    <font>
      <name val="Calibri"/>
      <color rgb="00404040"/>
      <sz val="11"/>
    </font>
    <font>
      <name val="Calibri"/>
      <b val="1"/>
      <color rgb="00548235"/>
      <sz val="11"/>
    </font>
    <font>
      <name val="Calibri"/>
      <b val="1"/>
      <color rgb="002E5090"/>
      <sz val="11"/>
    </font>
    <font>
      <name val="Calibri"/>
      <b val="1"/>
      <color rgb="00ED7D31"/>
      <sz val="11"/>
    </font>
    <font>
      <name val="Calibri"/>
      <color rgb="00548235"/>
      <sz val="11"/>
    </font>
    <font>
      <name val="Calibri"/>
      <color rgb="00000000"/>
      <sz val="11"/>
    </font>
    <font>
      <name val="Calibri"/>
      <color rgb="002E5090"/>
      <sz val="11"/>
    </font>
    <font>
      <name val="Calibri"/>
      <color rgb="00ED7D31"/>
      <sz val="11"/>
    </font>
    <font>
      <name val="Calibri"/>
      <b val="1"/>
      <color rgb="00C00000"/>
      <sz val="11"/>
    </font>
    <font>
      <name val="Calibri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509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5" borderId="1" pivotButton="0" quotePrefix="0" xfId="0"/>
    <xf numFmtId="164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5" borderId="1" pivotButton="0" quotePrefix="0" xfId="0"/>
    <xf numFmtId="165" fontId="6" fillId="5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 wrapText="1"/>
    </xf>
    <xf numFmtId="0" fontId="7" fillId="0" borderId="1" pivotButton="0" quotePrefix="0" xfId="0"/>
    <xf numFmtId="3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65" fontId="6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7" fillId="4" borderId="1" pivotButton="0" quotePrefix="0" xfId="0"/>
    <xf numFmtId="164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7" fillId="6" borderId="1" pivotButton="0" quotePrefix="0" xfId="0"/>
    <xf numFmtId="164" fontId="6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6" borderId="1" applyAlignment="1" pivotButton="0" quotePrefix="0" xfId="0">
      <alignment vertical="center" wrapText="1"/>
    </xf>
    <xf numFmtId="164" fontId="5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1" fillId="6" borderId="1" pivotButton="0" quotePrefix="0" xfId="0"/>
    <xf numFmtId="3" fontId="6" fillId="6" borderId="1" applyAlignment="1" pivotButton="0" quotePrefix="0" xfId="0">
      <alignment horizontal="center" vertical="center" wrapText="1"/>
    </xf>
    <xf numFmtId="3" fontId="12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vertical="center" wrapText="1"/>
    </xf>
    <xf numFmtId="0" fontId="13" fillId="4" borderId="1" pivotButton="0" quotePrefix="0" xfId="0"/>
    <xf numFmtId="3" fontId="6" fillId="4" borderId="1" applyAlignment="1" pivotButton="0" quotePrefix="0" xfId="0">
      <alignment horizontal="center" vertical="center" wrapText="1"/>
    </xf>
    <xf numFmtId="3" fontId="1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center" wrapText="1"/>
    </xf>
    <xf numFmtId="0" fontId="14" fillId="6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5" fontId="12" fillId="4" borderId="1" applyAlignment="1" pivotButton="0" quotePrefix="0" xfId="0">
      <alignment horizontal="center" vertical="center" wrapText="1"/>
    </xf>
    <xf numFmtId="165" fontId="12" fillId="6" borderId="1" applyAlignment="1" pivotButton="0" quotePrefix="0" xfId="0">
      <alignment horizontal="center" vertical="center" wrapText="1"/>
    </xf>
    <xf numFmtId="164" fontId="12" fillId="4" borderId="1" applyAlignment="1" pivotButton="0" quotePrefix="0" xfId="0">
      <alignment horizontal="center" vertical="center" wrapText="1"/>
    </xf>
    <xf numFmtId="164" fontId="12" fillId="6" borderId="1" applyAlignment="1" pivotButton="0" quotePrefix="0" xfId="0">
      <alignment horizontal="center" vertical="center" wrapText="1"/>
    </xf>
    <xf numFmtId="0" fontId="5" fillId="6" borderId="1" pivotButton="0" quotePrefix="0" xfId="0"/>
    <xf numFmtId="3" fontId="8" fillId="6" borderId="1" applyAlignment="1" pivotButton="0" quotePrefix="0" xfId="0">
      <alignment horizontal="center" vertical="center" wrapText="1"/>
    </xf>
    <xf numFmtId="3" fontId="13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3" fontId="11" fillId="6" borderId="1" applyAlignment="1" pivotButton="0" quotePrefix="0" xfId="0">
      <alignment horizontal="center" vertical="center" wrapText="1"/>
    </xf>
    <xf numFmtId="3" fontId="14" fillId="6" borderId="1" applyAlignment="1" pivotButton="0" quotePrefix="0" xfId="0">
      <alignment horizontal="center" vertical="center" wrapText="1"/>
    </xf>
    <xf numFmtId="3" fontId="11" fillId="4" borderId="1" applyAlignment="1" pivotButton="0" quotePrefix="0" xfId="0">
      <alignment horizontal="center" vertical="center" wrapText="1"/>
    </xf>
    <xf numFmtId="3" fontId="13" fillId="4" borderId="1" applyAlignment="1" pivotButton="0" quotePrefix="0" xfId="0">
      <alignment horizontal="center" vertical="center" wrapText="1"/>
    </xf>
    <xf numFmtId="3" fontId="14" fillId="4" borderId="1" applyAlignment="1" pivotButton="0" quotePrefix="0" xfId="0">
      <alignment horizontal="center" vertical="center" wrapText="1"/>
    </xf>
    <xf numFmtId="164" fontId="11" fillId="4" borderId="1" applyAlignment="1" pivotButton="0" quotePrefix="0" xfId="0">
      <alignment horizontal="center" vertical="center" wrapText="1"/>
    </xf>
    <xf numFmtId="164" fontId="13" fillId="4" borderId="1" applyAlignment="1" pivotButton="0" quotePrefix="0" xfId="0">
      <alignment horizontal="center" vertical="center" wrapText="1"/>
    </xf>
    <xf numFmtId="164" fontId="14" fillId="4" borderId="1" applyAlignment="1" pivotButton="0" quotePrefix="0" xfId="0">
      <alignment horizontal="center" vertical="center" wrapText="1"/>
    </xf>
    <xf numFmtId="164" fontId="11" fillId="6" borderId="1" applyAlignment="1" pivotButton="0" quotePrefix="0" xfId="0">
      <alignment horizontal="center" vertical="center" wrapText="1"/>
    </xf>
    <xf numFmtId="164" fontId="13" fillId="6" borderId="1" applyAlignment="1" pivotButton="0" quotePrefix="0" xfId="0">
      <alignment horizontal="center" vertical="center" wrapText="1"/>
    </xf>
    <xf numFmtId="164" fontId="14" fillId="6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164" fontId="13" fillId="5" borderId="1" applyAlignment="1" pivotButton="0" quotePrefix="0" xfId="0">
      <alignment horizontal="center" vertical="center" wrapText="1"/>
    </xf>
    <xf numFmtId="164" fontId="14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vertical="center" wrapText="1"/>
    </xf>
    <xf numFmtId="0" fontId="16" fillId="6" borderId="1" applyAlignment="1" pivotButton="0" quotePrefix="0" xfId="0">
      <alignment vertical="center" wrapText="1"/>
    </xf>
    <xf numFmtId="0" fontId="15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vertical="center" wrapText="1"/>
    </xf>
    <xf numFmtId="0" fontId="16" fillId="4" borderId="1" applyAlignment="1" pivotButton="0" quotePrefix="0" xfId="0">
      <alignment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Revenue by Scenario (12 Months)</a:t>
            </a:r>
          </a:p>
        </rich>
      </tx>
    </title>
    <plotArea>
      <lineChart>
        <grouping val="standard"/>
        <ser>
          <idx val="0"/>
          <order val="0"/>
          <tx>
            <v>Free</v>
          </tx>
          <spPr>
            <a:ln xmlns:a="http://schemas.openxmlformats.org/drawingml/2006/main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'Funnel Model'!$C$6:$N$6</f>
            </numRef>
          </cat>
          <val>
            <numRef>
              <f>'Funnel Model'!$C$17:$N$17</f>
            </numRef>
          </val>
        </ser>
        <ser>
          <idx val="1"/>
          <order val="1"/>
          <tx>
            <v>Moderate</v>
          </tx>
          <spPr>
            <a:ln xmlns:a="http://schemas.openxmlformats.org/drawingml/2006/main">
              <a:solidFill>
                <a:srgbClr val="2E509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'Funnel Model'!$C$6:$N$6</f>
            </numRef>
          </cat>
          <val>
            <numRef>
              <f>'Funnel Model'!$C$31:$N$31</f>
            </numRef>
          </val>
        </ser>
        <ser>
          <idx val="2"/>
          <order val="2"/>
          <tx>
            <v>Aggressive</v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'Funnel Model'!$C$6:$N$6</f>
            </numRef>
          </cat>
          <val>
            <numRef>
              <f>'Funnel Model'!$C$45:$N$45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Meetings Booked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v>Free</v>
          </tx>
          <spPr>
            <a:ln xmlns:a="http://schemas.openxmlformats.org/drawingml/2006/main">
              <a:prstDash val="solid"/>
            </a:ln>
          </spPr>
          <cat>
            <numRef>
              <f>'Funnel Model'!$C$6:$N$6</f>
            </numRef>
          </cat>
          <val>
            <numRef>
              <f>'Funnel Model'!$C$11:$N$11</f>
            </numRef>
          </val>
        </ser>
        <ser>
          <idx val="1"/>
          <order val="1"/>
          <tx>
            <v>Moderate</v>
          </tx>
          <spPr>
            <a:ln xmlns:a="http://schemas.openxmlformats.org/drawingml/2006/main">
              <a:prstDash val="solid"/>
            </a:ln>
          </spPr>
          <cat>
            <numRef>
              <f>'Funnel Model'!$C$6:$N$6</f>
            </numRef>
          </cat>
          <val>
            <numRef>
              <f>'Funnel Model'!$C$25:$N$25</f>
            </numRef>
          </val>
        </ser>
        <ser>
          <idx val="2"/>
          <order val="2"/>
          <tx>
            <v>Aggressive</v>
          </tx>
          <spPr>
            <a:ln xmlns:a="http://schemas.openxmlformats.org/drawingml/2006/main">
              <a:prstDash val="solid"/>
            </a:ln>
          </spPr>
          <cat>
            <numRef>
              <f>'Funnel Model'!$C$6:$N$6</f>
            </numRef>
          </cat>
          <val>
            <numRef>
              <f>'Funnel Model'!$C$39:$N$39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Meetings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12-Month Net Contribution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v>Net Contribution</v>
          </tx>
          <spPr>
            <a:ln xmlns:a="http://schemas.openxmlformats.org/drawingml/2006/main">
              <a:prstDash val="solid"/>
            </a:ln>
          </spPr>
          <cat>
            <numRef>
              <f>'Funnel Model'!$C$48:$E$48</f>
            </numRef>
          </cat>
          <val>
            <numRef>
              <f>'Funnel Model'!$C$55:$E$55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Contribution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Estimated TAM by Segment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'Market Analysis'!$B$7:$B$11</f>
            </numRef>
          </cat>
          <val>
            <numRef>
              <f>'Market Analysis'!$F$7:$F$11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56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72</row>
      <rowOff>0</rowOff>
    </from>
    <ext cx="864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88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13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3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2" customWidth="1" min="8" max="8"/>
  </cols>
  <sheetData>
    <row r="2" ht="20" customHeight="1">
      <c r="B2" s="1" t="inlineStr">
        <is>
          <t>Newport Wholesalers — Commercial SDR Model</t>
        </is>
      </c>
      <c r="C2" s="2" t="n"/>
      <c r="D2" s="2" t="n"/>
      <c r="E2" s="2" t="n"/>
      <c r="F2" s="2" t="n"/>
      <c r="G2" s="2" t="n"/>
      <c r="H2" s="3" t="n"/>
    </row>
    <row r="3">
      <c r="B3" s="4" t="inlineStr">
        <is>
          <t>12-Month Projection | February 2026</t>
        </is>
      </c>
      <c r="C3" s="2" t="n"/>
      <c r="D3" s="2" t="n"/>
      <c r="E3" s="2" t="n"/>
      <c r="F3" s="2" t="n"/>
      <c r="G3" s="2" t="n"/>
      <c r="H3" s="3" t="n"/>
    </row>
    <row r="5">
      <c r="B5" s="5" t="inlineStr">
        <is>
          <t>NEWPORT BUSINESS INPUTS</t>
        </is>
      </c>
      <c r="C5" s="2" t="n"/>
      <c r="D5" s="2" t="n"/>
      <c r="E5" s="2" t="n"/>
      <c r="F5" s="2" t="n"/>
      <c r="G5" s="2" t="n"/>
      <c r="H5" s="3" t="n"/>
    </row>
    <row r="6">
      <c r="B6" s="6" t="inlineStr">
        <is>
          <t>Newport provides these values (yellow = Newport input)</t>
        </is>
      </c>
      <c r="C6" s="2" t="n"/>
      <c r="D6" s="2" t="n"/>
      <c r="E6" s="2" t="n"/>
      <c r="F6" s="2" t="n"/>
      <c r="G6" s="2" t="n"/>
      <c r="H6" s="3" t="n"/>
    </row>
    <row r="7">
      <c r="B7" s="7" t="inlineStr">
        <is>
          <t>Metric</t>
        </is>
      </c>
      <c r="C7" s="8" t="inlineStr">
        <is>
          <t>Value</t>
        </is>
      </c>
      <c r="D7" s="9" t="n"/>
      <c r="E7" s="9" t="n"/>
      <c r="F7" s="9" t="n"/>
      <c r="G7" s="9" t="n"/>
      <c r="H7" s="8" t="inlineStr">
        <is>
          <t>Notes</t>
        </is>
      </c>
    </row>
    <row r="8">
      <c r="B8" s="10" t="inlineStr">
        <is>
          <t>Avg Deal Size by Segment</t>
        </is>
      </c>
      <c r="C8" s="11" t="n">
        <v>50000</v>
      </c>
      <c r="D8" s="11" t="n">
        <v>25000</v>
      </c>
      <c r="E8" s="11" t="n">
        <v>15000</v>
      </c>
      <c r="F8" s="11" t="n">
        <v>30000</v>
      </c>
      <c r="G8" s="11" t="n">
        <v>20000</v>
      </c>
      <c r="H8" s="12" t="inlineStr">
        <is>
          <t>Seg A / B / C / D / E (Newport provides actuals)</t>
        </is>
      </c>
    </row>
    <row r="9">
      <c r="B9" s="13" t="n"/>
      <c r="C9" s="14" t="inlineStr">
        <is>
          <t>Seg A</t>
        </is>
      </c>
      <c r="D9" s="14" t="inlineStr">
        <is>
          <t>Seg B</t>
        </is>
      </c>
      <c r="E9" s="14" t="inlineStr">
        <is>
          <t>Seg C</t>
        </is>
      </c>
      <c r="F9" s="14" t="inlineStr">
        <is>
          <t>Seg D</t>
        </is>
      </c>
      <c r="G9" s="14" t="inlineStr">
        <is>
          <t>Seg E</t>
        </is>
      </c>
      <c r="H9" s="13" t="n"/>
    </row>
    <row r="10">
      <c r="B10" s="15" t="inlineStr">
        <is>
          <t>Current Gross Margin</t>
        </is>
      </c>
      <c r="C10" s="16" t="n">
        <v>0.22</v>
      </c>
      <c r="D10" s="2" t="n"/>
      <c r="E10" s="2" t="n"/>
      <c r="F10" s="2" t="n"/>
      <c r="G10" s="3" t="n"/>
      <c r="H10" s="12" t="inlineStr">
        <is>
          <t>Blended margin on commercial deals</t>
        </is>
      </c>
    </row>
    <row r="11">
      <c r="B11" s="15" t="inlineStr">
        <is>
          <t>Close Rate on Warm Introductions</t>
        </is>
      </c>
      <c r="C11" s="16" t="n">
        <v>0.25</v>
      </c>
      <c r="D11" s="2" t="n"/>
      <c r="E11" s="2" t="n"/>
      <c r="F11" s="2" t="n"/>
      <c r="G11" s="3" t="n"/>
      <c r="H11" s="12" t="inlineStr">
        <is>
          <t>Baseline for comparison with cold outreach</t>
        </is>
      </c>
    </row>
    <row r="12">
      <c r="B12" s="15" t="inlineStr">
        <is>
          <t>Number of Sales Reps</t>
        </is>
      </c>
      <c r="C12" s="17" t="n">
        <v>2</v>
      </c>
      <c r="D12" s="2" t="n"/>
      <c r="E12" s="2" t="n"/>
      <c r="F12" s="2" t="n"/>
      <c r="G12" s="3" t="n"/>
      <c r="H12" s="12" t="inlineStr">
        <is>
          <t>Reps handling inbound meetings from SDR</t>
        </is>
      </c>
    </row>
    <row r="13">
      <c r="B13" s="15" t="inlineStr">
        <is>
          <t>Monthly Meeting Capacity per Rep</t>
        </is>
      </c>
      <c r="C13" s="17" t="n">
        <v>20</v>
      </c>
      <c r="D13" s="2" t="n"/>
      <c r="E13" s="2" t="n"/>
      <c r="F13" s="2" t="n"/>
      <c r="G13" s="3" t="n"/>
      <c r="H13" s="12" t="inlineStr">
        <is>
          <t>Max new meetings one rep can handle per month</t>
        </is>
      </c>
    </row>
    <row r="15">
      <c r="B15" s="5" t="inlineStr">
        <is>
          <t>OUTREACH PARAMETERS</t>
        </is>
      </c>
      <c r="C15" s="2" t="n"/>
      <c r="D15" s="2" t="n"/>
      <c r="E15" s="2" t="n"/>
      <c r="F15" s="2" t="n"/>
      <c r="G15" s="2" t="n"/>
      <c r="H15" s="3" t="n"/>
    </row>
    <row r="16">
      <c r="B16" s="6" t="inlineStr">
        <is>
          <t>Blue values are editable assumptions</t>
        </is>
      </c>
      <c r="C16" s="2" t="n"/>
      <c r="D16" s="2" t="n"/>
      <c r="E16" s="2" t="n"/>
      <c r="F16" s="2" t="n"/>
      <c r="G16" s="2" t="n"/>
      <c r="H16" s="3" t="n"/>
    </row>
    <row r="17">
      <c r="B17" s="7" t="inlineStr">
        <is>
          <t>Parameter</t>
        </is>
      </c>
      <c r="C17" s="8" t="inlineStr">
        <is>
          <t>Value</t>
        </is>
      </c>
      <c r="D17" s="9" t="n"/>
      <c r="E17" s="9" t="n"/>
      <c r="F17" s="9" t="n"/>
      <c r="G17" s="9" t="n"/>
      <c r="H17" s="8" t="inlineStr">
        <is>
          <t>Notes</t>
        </is>
      </c>
    </row>
    <row r="18">
      <c r="B18" s="18" t="inlineStr">
        <is>
          <t>Emails per Day per Mailbox</t>
        </is>
      </c>
      <c r="C18" s="19" t="n">
        <v>30</v>
      </c>
      <c r="D18" s="2" t="n"/>
      <c r="E18" s="2" t="n"/>
      <c r="F18" s="2" t="n"/>
      <c r="G18" s="3" t="n"/>
      <c r="H18" s="20" t="inlineStr">
        <is>
          <t>Industry best practice: 30-50/day for deliverability</t>
        </is>
      </c>
    </row>
    <row r="19">
      <c r="B19" s="18" t="inlineStr">
        <is>
          <t>Number of Mailboxes</t>
        </is>
      </c>
      <c r="C19" s="19" t="n">
        <v>3</v>
      </c>
      <c r="D19" s="2" t="n"/>
      <c r="E19" s="2" t="n"/>
      <c r="F19" s="2" t="n"/>
      <c r="G19" s="3" t="n"/>
      <c r="H19" s="20" t="inlineStr">
        <is>
          <t>Each mailbox = separate sending domain</t>
        </is>
      </c>
    </row>
    <row r="20">
      <c r="B20" s="18" t="inlineStr">
        <is>
          <t>Email Open Rate</t>
        </is>
      </c>
      <c r="C20" s="21" t="n">
        <v>0.22</v>
      </c>
      <c r="D20" s="2" t="n"/>
      <c r="E20" s="2" t="n"/>
      <c r="F20" s="2" t="n"/>
      <c r="G20" s="3" t="n"/>
      <c r="H20" s="20" t="inlineStr">
        <is>
          <t>B2B benchmark: 18-25%</t>
        </is>
      </c>
    </row>
    <row r="21">
      <c r="B21" s="18" t="inlineStr">
        <is>
          <t>Reply Rate</t>
        </is>
      </c>
      <c r="C21" s="21" t="n">
        <v>0.035</v>
      </c>
      <c r="D21" s="2" t="n"/>
      <c r="E21" s="2" t="n"/>
      <c r="F21" s="2" t="n"/>
      <c r="G21" s="3" t="n"/>
      <c r="H21" s="20" t="inlineStr">
        <is>
          <t>Cold email benchmark: 2-5%</t>
        </is>
      </c>
    </row>
    <row r="22">
      <c r="B22" s="18" t="inlineStr">
        <is>
          <t>Reply-to-Meeting Conversion</t>
        </is>
      </c>
      <c r="C22" s="21" t="n">
        <v>0.35</v>
      </c>
      <c r="D22" s="2" t="n"/>
      <c r="E22" s="2" t="n"/>
      <c r="F22" s="2" t="n"/>
      <c r="G22" s="3" t="n"/>
      <c r="H22" s="20" t="inlineStr">
        <is>
          <t>35% of positive replies book a meeting</t>
        </is>
      </c>
    </row>
    <row r="23">
      <c r="B23" s="18" t="inlineStr">
        <is>
          <t>Meeting-to-Deal Close Rate</t>
        </is>
      </c>
      <c r="C23" s="21" t="n">
        <v>0.18</v>
      </c>
      <c r="D23" s="2" t="n"/>
      <c r="E23" s="2" t="n"/>
      <c r="F23" s="2" t="n"/>
      <c r="G23" s="3" t="n"/>
      <c r="H23" s="20" t="inlineStr">
        <is>
          <t>Cold outreach close rate (lower than warm)</t>
        </is>
      </c>
    </row>
    <row r="24">
      <c r="B24" s="18" t="inlineStr">
        <is>
          <t>Avg Sales Cycle (days)</t>
        </is>
      </c>
      <c r="C24" s="19" t="n">
        <v>45</v>
      </c>
      <c r="D24" s="2" t="n"/>
      <c r="E24" s="2" t="n"/>
      <c r="F24" s="2" t="n"/>
      <c r="G24" s="3" t="n"/>
      <c r="H24" s="20" t="inlineStr">
        <is>
          <t>Days from first meeting to closed deal</t>
        </is>
      </c>
    </row>
    <row r="26">
      <c r="B26" s="5" t="inlineStr">
        <is>
          <t>TOOL COSTS BY SCENARIO</t>
        </is>
      </c>
      <c r="C26" s="2" t="n"/>
      <c r="D26" s="2" t="n"/>
      <c r="E26" s="2" t="n"/>
      <c r="F26" s="2" t="n"/>
      <c r="G26" s="2" t="n"/>
      <c r="H26" s="3" t="n"/>
    </row>
    <row r="27">
      <c r="B27" s="7" t="inlineStr">
        <is>
          <t>Tool</t>
        </is>
      </c>
      <c r="C27" s="22" t="inlineStr">
        <is>
          <t>Free</t>
        </is>
      </c>
      <c r="D27" s="23" t="inlineStr">
        <is>
          <t>Moderate</t>
        </is>
      </c>
      <c r="E27" s="24" t="inlineStr">
        <is>
          <t>Aggressive</t>
        </is>
      </c>
      <c r="F27" s="9" t="n"/>
      <c r="G27" s="9" t="n"/>
      <c r="H27" s="8" t="inlineStr">
        <is>
          <t>Notes</t>
        </is>
      </c>
    </row>
    <row r="28">
      <c r="B28" s="25" t="inlineStr">
        <is>
          <t>Apollo.io</t>
        </is>
      </c>
      <c r="C28" s="26" t="n">
        <v>0</v>
      </c>
      <c r="D28" s="26" t="n">
        <v>588</v>
      </c>
      <c r="E28" s="26" t="n">
        <v>1428</v>
      </c>
      <c r="F28" s="9" t="n"/>
      <c r="G28" s="9" t="n"/>
      <c r="H28" s="27" t="inlineStr">
        <is>
          <t>Free search; paid = more reveal credits</t>
        </is>
      </c>
    </row>
    <row r="29">
      <c r="B29" s="28" t="inlineStr">
        <is>
          <t>Instantly</t>
        </is>
      </c>
      <c r="C29" s="29" t="n">
        <v>0</v>
      </c>
      <c r="D29" s="29" t="n">
        <v>444</v>
      </c>
      <c r="E29" s="29" t="n">
        <v>1164</v>
      </c>
      <c r="F29" s="30" t="n"/>
      <c r="G29" s="30" t="n"/>
      <c r="H29" s="31" t="inlineStr">
        <is>
          <t>Email automation platform</t>
        </is>
      </c>
    </row>
    <row r="30">
      <c r="B30" s="25" t="inlineStr">
        <is>
          <t>Clay</t>
        </is>
      </c>
      <c r="C30" s="26" t="n">
        <v>0</v>
      </c>
      <c r="D30" s="26" t="n">
        <v>0</v>
      </c>
      <c r="E30" s="26" t="n">
        <v>4680</v>
      </c>
      <c r="F30" s="9" t="n"/>
      <c r="G30" s="9" t="n"/>
      <c r="H30" s="27" t="inlineStr">
        <is>
          <t>Data enrichment &amp; workflow</t>
        </is>
      </c>
    </row>
    <row r="31">
      <c r="B31" s="28" t="inlineStr">
        <is>
          <t>Twilio SMS</t>
        </is>
      </c>
      <c r="C31" s="29" t="n">
        <v>0</v>
      </c>
      <c r="D31" s="29" t="n">
        <v>0</v>
      </c>
      <c r="E31" s="29" t="n">
        <v>600</v>
      </c>
      <c r="F31" s="30" t="n"/>
      <c r="G31" s="30" t="n"/>
      <c r="H31" s="31" t="inlineStr">
        <is>
          <t>SMS follow-up (usage-based)</t>
        </is>
      </c>
    </row>
    <row r="32">
      <c r="B32" s="25" t="inlineStr">
        <is>
          <t>Retell AI Voice</t>
        </is>
      </c>
      <c r="C32" s="26" t="n">
        <v>0</v>
      </c>
      <c r="D32" s="26" t="n">
        <v>0</v>
      </c>
      <c r="E32" s="26" t="n">
        <v>1200</v>
      </c>
      <c r="F32" s="9" t="n"/>
      <c r="G32" s="9" t="n"/>
      <c r="H32" s="27" t="inlineStr">
        <is>
          <t>AI voice outreach (usage-based)</t>
        </is>
      </c>
    </row>
    <row r="33">
      <c r="B33" s="10" t="inlineStr">
        <is>
          <t>TOTAL ANNUAL</t>
        </is>
      </c>
      <c r="C33" s="32">
        <f>SUM(C28:C32)</f>
        <v/>
      </c>
      <c r="D33" s="32">
        <f>SUM(D28:D32)</f>
        <v/>
      </c>
      <c r="E33" s="32">
        <f>SUM(E28:E32)</f>
        <v/>
      </c>
      <c r="F33" s="33" t="n"/>
      <c r="G33" s="33" t="n"/>
      <c r="H33" s="33" t="n"/>
    </row>
    <row r="35">
      <c r="B35" s="5" t="inlineStr">
        <is>
          <t>CAPACITY BY SCENARIO</t>
        </is>
      </c>
      <c r="C35" s="2" t="n"/>
      <c r="D35" s="2" t="n"/>
      <c r="E35" s="2" t="n"/>
      <c r="F35" s="2" t="n"/>
      <c r="G35" s="2" t="n"/>
      <c r="H35" s="3" t="n"/>
    </row>
    <row r="36">
      <c r="B36" s="7" t="inlineStr">
        <is>
          <t>Scenario</t>
        </is>
      </c>
      <c r="C36" s="8" t="inlineStr">
        <is>
          <t>Prospects/Week</t>
        </is>
      </c>
      <c r="D36" s="8" t="inlineStr">
        <is>
          <t>Prospects/Month</t>
        </is>
      </c>
      <c r="E36" s="8" t="inlineStr">
        <is>
          <t>Method</t>
        </is>
      </c>
      <c r="F36" s="9" t="n"/>
      <c r="G36" s="9" t="n"/>
      <c r="H36" s="9" t="n"/>
    </row>
    <row r="37">
      <c r="B37" s="34" t="inlineStr">
        <is>
          <t>Free</t>
        </is>
      </c>
      <c r="C37" s="35" t="n">
        <v>50</v>
      </c>
      <c r="D37" s="36">
        <f>C37*4.33</f>
        <v/>
      </c>
      <c r="E37" s="37" t="inlineStr">
        <is>
          <t>Manual LinkedIn + Apollo search</t>
        </is>
      </c>
      <c r="F37" s="30" t="n"/>
      <c r="G37" s="30" t="n"/>
      <c r="H37" s="30" t="n"/>
    </row>
    <row r="38">
      <c r="B38" s="38" t="inlineStr">
        <is>
          <t>Moderate</t>
        </is>
      </c>
      <c r="C38" s="39" t="n">
        <v>450</v>
      </c>
      <c r="D38" s="40">
        <f>C38*4.33</f>
        <v/>
      </c>
      <c r="E38" s="41" t="inlineStr">
        <is>
          <t>Email automation (Instantly)</t>
        </is>
      </c>
      <c r="F38" s="9" t="n"/>
      <c r="G38" s="9" t="n"/>
      <c r="H38" s="9" t="n"/>
    </row>
    <row r="39">
      <c r="B39" s="42" t="inlineStr">
        <is>
          <t>Aggressive</t>
        </is>
      </c>
      <c r="C39" s="35" t="n">
        <v>900</v>
      </c>
      <c r="D39" s="36">
        <f>C39*4.33</f>
        <v/>
      </c>
      <c r="E39" s="37" t="inlineStr">
        <is>
          <t>Multi-channel (email + SMS + voice)</t>
        </is>
      </c>
      <c r="F39" s="30" t="n"/>
      <c r="G39" s="30" t="n"/>
      <c r="H39" s="30" t="n"/>
    </row>
    <row r="41">
      <c r="B41" s="5" t="inlineStr">
        <is>
          <t>WEIGHTED AVERAGE DEAL SIZE</t>
        </is>
      </c>
      <c r="C41" s="2" t="n"/>
      <c r="D41" s="2" t="n"/>
      <c r="E41" s="2" t="n"/>
      <c r="F41" s="2" t="n"/>
      <c r="G41" s="2" t="n"/>
      <c r="H41" s="3" t="n"/>
    </row>
    <row r="42">
      <c r="B42" s="6" t="inlineStr">
        <is>
          <t>Computed from segment deal sizes (equal weight)</t>
        </is>
      </c>
      <c r="C42" s="2" t="n"/>
      <c r="D42" s="2" t="n"/>
      <c r="E42" s="2" t="n"/>
      <c r="F42" s="2" t="n"/>
      <c r="G42" s="2" t="n"/>
      <c r="H42" s="3" t="n"/>
    </row>
    <row r="43">
      <c r="B43" s="10" t="inlineStr">
        <is>
          <t>Weighted Avg Deal Size</t>
        </is>
      </c>
      <c r="C43" s="32">
        <f>AVERAGE(C8:G8)</f>
        <v/>
      </c>
      <c r="D43" s="2" t="n"/>
      <c r="E43" s="2" t="n"/>
      <c r="F43" s="2" t="n"/>
      <c r="G43" s="3" t="n"/>
      <c r="H43" s="12" t="inlineStr">
        <is>
          <t>Average across 5 segments</t>
        </is>
      </c>
    </row>
  </sheetData>
  <mergeCells count="22">
    <mergeCell ref="C24:G24"/>
    <mergeCell ref="B6:H6"/>
    <mergeCell ref="B15:H15"/>
    <mergeCell ref="B5:H5"/>
    <mergeCell ref="C20:G20"/>
    <mergeCell ref="B26:H26"/>
    <mergeCell ref="B41:H41"/>
    <mergeCell ref="C10:G10"/>
    <mergeCell ref="B35:H35"/>
    <mergeCell ref="B16:H16"/>
    <mergeCell ref="C22:G22"/>
    <mergeCell ref="B3:H3"/>
    <mergeCell ref="C21:G21"/>
    <mergeCell ref="C43:G43"/>
    <mergeCell ref="C12:G12"/>
    <mergeCell ref="C11:G11"/>
    <mergeCell ref="B2:H2"/>
    <mergeCell ref="C23:G23"/>
    <mergeCell ref="B42:H42"/>
    <mergeCell ref="C19:G19"/>
    <mergeCell ref="C13:G13"/>
    <mergeCell ref="C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5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2" ht="20" customHeight="1">
      <c r="B2" s="1" t="inlineStr">
        <is>
          <t>Newport Wholesalers — Commercial SDR Model</t>
        </is>
      </c>
      <c r="C2" s="2" t="n"/>
      <c r="D2" s="2" t="n"/>
      <c r="E2" s="2" t="n"/>
      <c r="F2" s="2" t="n"/>
      <c r="G2" s="3" t="n"/>
    </row>
    <row r="3">
      <c r="B3" s="4" t="inlineStr">
        <is>
          <t>12-Month Projection | February 2026</t>
        </is>
      </c>
      <c r="C3" s="2" t="n"/>
      <c r="D3" s="2" t="n"/>
      <c r="E3" s="2" t="n"/>
      <c r="F3" s="2" t="n"/>
      <c r="G3" s="3" t="n"/>
    </row>
    <row r="5">
      <c r="B5" s="5" t="inlineStr">
        <is>
          <t>ICP SEGMENT ECONOMICS</t>
        </is>
      </c>
      <c r="C5" s="2" t="n"/>
      <c r="D5" s="2" t="n"/>
      <c r="E5" s="2" t="n"/>
      <c r="F5" s="2" t="n"/>
      <c r="G5" s="3" t="n"/>
    </row>
    <row r="6">
      <c r="B6" s="8" t="inlineStr">
        <is>
          <t>Metric</t>
        </is>
      </c>
      <c r="C6" s="8" t="inlineStr">
        <is>
          <t>Seg A: Enterprise Grocery</t>
        </is>
      </c>
      <c r="D6" s="8" t="inlineStr">
        <is>
          <t>Seg B: Manufacturers</t>
        </is>
      </c>
      <c r="E6" s="8" t="inlineStr">
        <is>
          <t>Seg C: Gov Buyers</t>
        </is>
      </c>
      <c r="F6" s="8" t="inlineStr">
        <is>
          <t>Seg D: Corrections</t>
        </is>
      </c>
      <c r="G6" s="8" t="inlineStr">
        <is>
          <t>Seg E: Candy/Confectionery</t>
        </is>
      </c>
    </row>
    <row r="7">
      <c r="B7" s="28" t="inlineStr">
        <is>
          <t>Pipeline Type</t>
        </is>
      </c>
      <c r="C7" s="43" t="inlineStr">
        <is>
          <t>Direct-to-customer</t>
        </is>
      </c>
      <c r="D7" s="43" t="inlineStr">
        <is>
          <t>Partner</t>
        </is>
      </c>
      <c r="E7" s="43" t="inlineStr">
        <is>
          <t>Direct-to-customer</t>
        </is>
      </c>
      <c r="F7" s="43" t="inlineStr">
        <is>
          <t>Direct-to-customer</t>
        </is>
      </c>
      <c r="G7" s="43" t="inlineStr">
        <is>
          <t>Partner</t>
        </is>
      </c>
    </row>
    <row r="8">
      <c r="B8" s="25" t="inlineStr">
        <is>
          <t>Geography</t>
        </is>
      </c>
      <c r="C8" s="44" t="inlineStr">
        <is>
          <t>US/UK/EU</t>
        </is>
      </c>
      <c r="D8" s="44" t="inlineStr">
        <is>
          <t>US/UK/EU</t>
        </is>
      </c>
      <c r="E8" s="44" t="inlineStr">
        <is>
          <t>US only</t>
        </is>
      </c>
      <c r="F8" s="44" t="inlineStr">
        <is>
          <t>US only</t>
        </is>
      </c>
      <c r="G8" s="44" t="inlineStr">
        <is>
          <t>US/LATAM</t>
        </is>
      </c>
    </row>
    <row r="9">
      <c r="B9" s="28" t="inlineStr">
        <is>
          <t>Est. Addressable Companies</t>
        </is>
      </c>
      <c r="C9" s="36" t="n">
        <v>2000</v>
      </c>
      <c r="D9" s="36" t="n">
        <v>3000</v>
      </c>
      <c r="E9" s="36" t="n">
        <v>500</v>
      </c>
      <c r="F9" s="36" t="n">
        <v>200</v>
      </c>
      <c r="G9" s="36" t="n">
        <v>1831</v>
      </c>
    </row>
    <row r="10">
      <c r="B10" s="25" t="inlineStr">
        <is>
          <t>Apollo Coverage</t>
        </is>
      </c>
      <c r="C10" s="45" t="n">
        <v>0.65</v>
      </c>
      <c r="D10" s="45" t="n">
        <v>0.6</v>
      </c>
      <c r="E10" s="45" t="n">
        <v>0.4</v>
      </c>
      <c r="F10" s="45" t="n">
        <v>0.55</v>
      </c>
      <c r="G10" s="45" t="n">
        <v>0.6</v>
      </c>
    </row>
    <row r="11">
      <c r="B11" s="28" t="inlineStr">
        <is>
          <t>Contacts per Company</t>
        </is>
      </c>
      <c r="C11" s="35" t="n">
        <v>3</v>
      </c>
      <c r="D11" s="35" t="n">
        <v>3</v>
      </c>
      <c r="E11" s="35" t="n">
        <v>3</v>
      </c>
      <c r="F11" s="35" t="n">
        <v>3</v>
      </c>
      <c r="G11" s="35" t="n">
        <v>3</v>
      </c>
    </row>
    <row r="12">
      <c r="B12" s="7" t="inlineStr">
        <is>
          <t>Reachable Contacts</t>
        </is>
      </c>
      <c r="C12" s="40">
        <f>ROUND(C9*C10*C11,0)</f>
        <v/>
      </c>
      <c r="D12" s="40">
        <f>ROUND(D9*D10*D11,0)</f>
        <v/>
      </c>
      <c r="E12" s="40">
        <f>ROUND(E9*E10*E11,0)</f>
        <v/>
      </c>
      <c r="F12" s="40">
        <f>ROUND(F9*F10*F11,0)</f>
        <v/>
      </c>
      <c r="G12" s="40">
        <f>ROUND(G9*G10*G11,0)</f>
        <v/>
      </c>
    </row>
    <row r="13">
      <c r="B13" s="13" t="n"/>
      <c r="C13" s="13" t="n"/>
      <c r="D13" s="13" t="n"/>
      <c r="E13" s="13" t="n"/>
      <c r="F13" s="13" t="n"/>
      <c r="G13" s="13" t="n"/>
    </row>
    <row r="14">
      <c r="B14" s="7" t="inlineStr">
        <is>
          <t>Avg Deal Size</t>
        </is>
      </c>
      <c r="C14" s="26">
        <f>Inputs!C8</f>
        <v/>
      </c>
      <c r="D14" s="26">
        <f>Inputs!D8</f>
        <v/>
      </c>
      <c r="E14" s="26">
        <f>Inputs!E8</f>
        <v/>
      </c>
      <c r="F14" s="26">
        <f>Inputs!F8</f>
        <v/>
      </c>
      <c r="G14" s="26">
        <f>Inputs!G8</f>
        <v/>
      </c>
    </row>
    <row r="15">
      <c r="B15" s="28" t="inlineStr">
        <is>
          <t>Gross Margin</t>
        </is>
      </c>
      <c r="C15" s="46">
        <f>Inputs!C10</f>
        <v/>
      </c>
      <c r="D15" s="46">
        <f>Inputs!C10</f>
        <v/>
      </c>
      <c r="E15" s="46">
        <f>Inputs!C10</f>
        <v/>
      </c>
      <c r="F15" s="46">
        <f>Inputs!C10</f>
        <v/>
      </c>
      <c r="G15" s="46">
        <f>Inputs!C10</f>
        <v/>
      </c>
    </row>
    <row r="16">
      <c r="B16" s="25" t="inlineStr">
        <is>
          <t>Est. Annual Revenue per Deal</t>
        </is>
      </c>
      <c r="C16" s="47">
        <f>C14</f>
        <v/>
      </c>
      <c r="D16" s="47">
        <f>D14</f>
        <v/>
      </c>
      <c r="E16" s="47">
        <f>E14</f>
        <v/>
      </c>
      <c r="F16" s="47">
        <f>F14</f>
        <v/>
      </c>
      <c r="G16" s="47">
        <f>G14</f>
        <v/>
      </c>
    </row>
    <row r="17">
      <c r="B17" s="28" t="inlineStr">
        <is>
          <t>Gross Profit per Deal</t>
        </is>
      </c>
      <c r="C17" s="48">
        <f>C16*C15</f>
        <v/>
      </c>
      <c r="D17" s="48">
        <f>D16*D15</f>
        <v/>
      </c>
      <c r="E17" s="48">
        <f>E16*E15</f>
        <v/>
      </c>
      <c r="F17" s="48">
        <f>F16*F15</f>
        <v/>
      </c>
      <c r="G17" s="48">
        <f>G16*G15</f>
        <v/>
      </c>
    </row>
    <row r="18">
      <c r="B18" s="13" t="n"/>
      <c r="C18" s="13" t="n"/>
      <c r="D18" s="13" t="n"/>
      <c r="E18" s="13" t="n"/>
      <c r="F18" s="13" t="n"/>
      <c r="G18" s="13" t="n"/>
    </row>
    <row r="19">
      <c r="B19" s="49" t="inlineStr">
        <is>
          <t>Segment Priority</t>
        </is>
      </c>
      <c r="C19" s="50" t="n">
        <v>1</v>
      </c>
      <c r="D19" s="51" t="n">
        <v>2</v>
      </c>
      <c r="E19" s="52" t="n">
        <v>3</v>
      </c>
      <c r="F19" s="52" t="n">
        <v>3</v>
      </c>
      <c r="G19" s="50" t="n">
        <v>1</v>
      </c>
    </row>
    <row r="20">
      <c r="B20" s="25" t="inlineStr">
        <is>
          <t>Notes</t>
        </is>
      </c>
      <c r="C20" s="27" t="inlineStr">
        <is>
          <t>Largest deal size</t>
        </is>
      </c>
      <c r="D20" s="27" t="inlineStr">
        <is>
          <t>Volume play</t>
        </is>
      </c>
      <c r="E20" s="27" t="inlineStr">
        <is>
          <t>Overlap with GovCon channel</t>
        </is>
      </c>
      <c r="F20" s="27" t="inlineStr">
        <is>
          <t>Niche, high barriers</t>
        </is>
      </c>
      <c r="G20" s="27" t="inlineStr">
        <is>
          <t>Newport's specialty</t>
        </is>
      </c>
    </row>
    <row r="22">
      <c r="B22" s="5" t="inlineStr">
        <is>
          <t>SEGMENT TAM SUMMARY</t>
        </is>
      </c>
      <c r="C22" s="2" t="n"/>
      <c r="D22" s="2" t="n"/>
      <c r="E22" s="2" t="n"/>
      <c r="F22" s="2" t="n"/>
      <c r="G22" s="3" t="n"/>
    </row>
    <row r="23">
      <c r="B23" s="8" t="inlineStr">
        <is>
          <t>Metric</t>
        </is>
      </c>
      <c r="C23" s="8" t="inlineStr">
        <is>
          <t>Seg A</t>
        </is>
      </c>
      <c r="D23" s="8" t="inlineStr">
        <is>
          <t>Seg B</t>
        </is>
      </c>
      <c r="E23" s="8" t="inlineStr">
        <is>
          <t>Seg C</t>
        </is>
      </c>
      <c r="F23" s="8" t="inlineStr">
        <is>
          <t>Seg D</t>
        </is>
      </c>
      <c r="G23" s="8" t="inlineStr">
        <is>
          <t>Seg E</t>
        </is>
      </c>
    </row>
    <row r="24">
      <c r="B24" s="25" t="inlineStr">
        <is>
          <t>Segment TAM (companies x deal)</t>
        </is>
      </c>
      <c r="C24" s="47">
        <f>C9*C14</f>
        <v/>
      </c>
      <c r="D24" s="47">
        <f>D9*D14</f>
        <v/>
      </c>
      <c r="E24" s="47">
        <f>E9*E14</f>
        <v/>
      </c>
      <c r="F24" s="47">
        <f>F9*F14</f>
        <v/>
      </c>
      <c r="G24" s="47">
        <f>G9*G14</f>
        <v/>
      </c>
    </row>
    <row r="25">
      <c r="B25" s="28" t="inlineStr">
        <is>
          <t>Reachable TAM (Apollo-filtered)</t>
        </is>
      </c>
      <c r="C25" s="48">
        <f>ROUND(C12/C11,0)*C14</f>
        <v/>
      </c>
      <c r="D25" s="48">
        <f>ROUND(D12/D11,0)*D14</f>
        <v/>
      </c>
      <c r="E25" s="48">
        <f>ROUND(E12/E11,0)*E14</f>
        <v/>
      </c>
      <c r="F25" s="48">
        <f>ROUND(F12/F11,0)*F14</f>
        <v/>
      </c>
      <c r="G25" s="48">
        <f>ROUND(G12/G11,0)*G14</f>
        <v/>
      </c>
    </row>
  </sheetData>
  <mergeCells count="4">
    <mergeCell ref="B3:G3"/>
    <mergeCell ref="B2:G2"/>
    <mergeCell ref="B5:G5"/>
    <mergeCell ref="B22:G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5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</cols>
  <sheetData>
    <row r="2" ht="20" customHeight="1">
      <c r="B2" s="1" t="inlineStr">
        <is>
          <t>Newport Wholesalers — Commercial SDR Model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n"/>
    </row>
    <row r="3">
      <c r="B3" s="4" t="inlineStr">
        <is>
          <t>12-Month Projection | February 2026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3" t="n"/>
    </row>
    <row r="5">
      <c r="B5" s="5" t="inlineStr">
        <is>
          <t>FREE SCENARIO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3" t="n"/>
    </row>
    <row r="6">
      <c r="B6" s="7" t="inlineStr">
        <is>
          <t>Metric</t>
        </is>
      </c>
      <c r="C6" s="8" t="inlineStr">
        <is>
          <t>M1</t>
        </is>
      </c>
      <c r="D6" s="8" t="inlineStr">
        <is>
          <t>M2</t>
        </is>
      </c>
      <c r="E6" s="8" t="inlineStr">
        <is>
          <t>M3</t>
        </is>
      </c>
      <c r="F6" s="8" t="inlineStr">
        <is>
          <t>M4</t>
        </is>
      </c>
      <c r="G6" s="8" t="inlineStr">
        <is>
          <t>M5</t>
        </is>
      </c>
      <c r="H6" s="8" t="inlineStr">
        <is>
          <t>M6</t>
        </is>
      </c>
      <c r="I6" s="8" t="inlineStr">
        <is>
          <t>M7</t>
        </is>
      </c>
      <c r="J6" s="8" t="inlineStr">
        <is>
          <t>M8</t>
        </is>
      </c>
      <c r="K6" s="8" t="inlineStr">
        <is>
          <t>M9</t>
        </is>
      </c>
      <c r="L6" s="8" t="inlineStr">
        <is>
          <t>M10</t>
        </is>
      </c>
      <c r="M6" s="8" t="inlineStr">
        <is>
          <t>M11</t>
        </is>
      </c>
      <c r="N6" s="8" t="inlineStr">
        <is>
          <t>M12</t>
        </is>
      </c>
      <c r="O6" s="8" t="inlineStr">
        <is>
          <t>Total</t>
        </is>
      </c>
    </row>
    <row r="7">
      <c r="B7" s="28" t="inlineStr">
        <is>
          <t>Prospects Contacted</t>
        </is>
      </c>
      <c r="C7" s="36">
        <f>ROUND(Inputs!D37,0)</f>
        <v/>
      </c>
      <c r="D7" s="36">
        <f>ROUND(Inputs!D37,0)</f>
        <v/>
      </c>
      <c r="E7" s="36">
        <f>ROUND(Inputs!D37,0)</f>
        <v/>
      </c>
      <c r="F7" s="36">
        <f>ROUND(Inputs!D37,0)</f>
        <v/>
      </c>
      <c r="G7" s="36">
        <f>ROUND(Inputs!D37,0)</f>
        <v/>
      </c>
      <c r="H7" s="36">
        <f>ROUND(Inputs!D37,0)</f>
        <v/>
      </c>
      <c r="I7" s="36">
        <f>ROUND(Inputs!D37,0)</f>
        <v/>
      </c>
      <c r="J7" s="36">
        <f>ROUND(Inputs!D37,0)</f>
        <v/>
      </c>
      <c r="K7" s="36">
        <f>ROUND(Inputs!D37,0)</f>
        <v/>
      </c>
      <c r="L7" s="36">
        <f>ROUND(Inputs!D37,0)</f>
        <v/>
      </c>
      <c r="M7" s="36">
        <f>ROUND(Inputs!D37,0)</f>
        <v/>
      </c>
      <c r="N7" s="36">
        <f>ROUND(Inputs!D37,0)</f>
        <v/>
      </c>
      <c r="O7" s="53">
        <f>SUM(C7:N7)</f>
        <v/>
      </c>
    </row>
    <row r="8">
      <c r="B8" s="25" t="inlineStr">
        <is>
          <t>Opens</t>
        </is>
      </c>
      <c r="C8" s="40">
        <f>ROUND(C7*Inputs!C20,0)</f>
        <v/>
      </c>
      <c r="D8" s="40">
        <f>ROUND(D7*Inputs!C20,0)</f>
        <v/>
      </c>
      <c r="E8" s="40">
        <f>ROUND(E7*Inputs!C20,0)</f>
        <v/>
      </c>
      <c r="F8" s="40">
        <f>ROUND(F7*Inputs!C20,0)</f>
        <v/>
      </c>
      <c r="G8" s="40">
        <f>ROUND(G7*Inputs!C20,0)</f>
        <v/>
      </c>
      <c r="H8" s="40">
        <f>ROUND(H7*Inputs!C20,0)</f>
        <v/>
      </c>
      <c r="I8" s="40">
        <f>ROUND(I7*Inputs!C20,0)</f>
        <v/>
      </c>
      <c r="J8" s="40">
        <f>ROUND(J7*Inputs!C20,0)</f>
        <v/>
      </c>
      <c r="K8" s="40">
        <f>ROUND(K7*Inputs!C20,0)</f>
        <v/>
      </c>
      <c r="L8" s="40">
        <f>ROUND(L7*Inputs!C20,0)</f>
        <v/>
      </c>
      <c r="M8" s="40">
        <f>ROUND(M7*Inputs!C20,0)</f>
        <v/>
      </c>
      <c r="N8" s="40">
        <f>ROUND(N7*Inputs!C20,0)</f>
        <v/>
      </c>
      <c r="O8" s="54">
        <f>SUM(C8:N8)</f>
        <v/>
      </c>
    </row>
    <row r="9">
      <c r="B9" s="28" t="inlineStr">
        <is>
          <t>Replies</t>
        </is>
      </c>
      <c r="C9" s="36">
        <f>ROUND(C7*Inputs!C21,0)</f>
        <v/>
      </c>
      <c r="D9" s="36">
        <f>ROUND(D7*Inputs!C21,0)</f>
        <v/>
      </c>
      <c r="E9" s="36">
        <f>ROUND(E7*Inputs!C21,0)</f>
        <v/>
      </c>
      <c r="F9" s="36">
        <f>ROUND(F7*Inputs!C21,0)</f>
        <v/>
      </c>
      <c r="G9" s="36">
        <f>ROUND(G7*Inputs!C21,0)</f>
        <v/>
      </c>
      <c r="H9" s="36">
        <f>ROUND(H7*Inputs!C21,0)</f>
        <v/>
      </c>
      <c r="I9" s="36">
        <f>ROUND(I7*Inputs!C21,0)</f>
        <v/>
      </c>
      <c r="J9" s="36">
        <f>ROUND(J7*Inputs!C21,0)</f>
        <v/>
      </c>
      <c r="K9" s="36">
        <f>ROUND(K7*Inputs!C21,0)</f>
        <v/>
      </c>
      <c r="L9" s="36">
        <f>ROUND(L7*Inputs!C21,0)</f>
        <v/>
      </c>
      <c r="M9" s="36">
        <f>ROUND(M7*Inputs!C21,0)</f>
        <v/>
      </c>
      <c r="N9" s="36">
        <f>ROUND(N7*Inputs!C21,0)</f>
        <v/>
      </c>
      <c r="O9" s="53">
        <f>SUM(C9:N9)</f>
        <v/>
      </c>
    </row>
    <row r="10">
      <c r="B10" s="25" t="inlineStr">
        <is>
          <t>Meetings Booked (raw)</t>
        </is>
      </c>
      <c r="C10" s="40">
        <f>ROUND(C9*Inputs!C22,0)</f>
        <v/>
      </c>
      <c r="D10" s="40">
        <f>ROUND(D9*Inputs!C22,0)</f>
        <v/>
      </c>
      <c r="E10" s="40">
        <f>ROUND(E9*Inputs!C22,0)</f>
        <v/>
      </c>
      <c r="F10" s="40">
        <f>ROUND(F9*Inputs!C22,0)</f>
        <v/>
      </c>
      <c r="G10" s="40">
        <f>ROUND(G9*Inputs!C22,0)</f>
        <v/>
      </c>
      <c r="H10" s="40">
        <f>ROUND(H9*Inputs!C22,0)</f>
        <v/>
      </c>
      <c r="I10" s="40">
        <f>ROUND(I9*Inputs!C22,0)</f>
        <v/>
      </c>
      <c r="J10" s="40">
        <f>ROUND(J9*Inputs!C22,0)</f>
        <v/>
      </c>
      <c r="K10" s="40">
        <f>ROUND(K9*Inputs!C22,0)</f>
        <v/>
      </c>
      <c r="L10" s="40">
        <f>ROUND(L9*Inputs!C22,0)</f>
        <v/>
      </c>
      <c r="M10" s="40">
        <f>ROUND(M9*Inputs!C22,0)</f>
        <v/>
      </c>
      <c r="N10" s="40">
        <f>ROUND(N9*Inputs!C22,0)</f>
        <v/>
      </c>
      <c r="O10" s="54">
        <f>SUM(C10:N10)</f>
        <v/>
      </c>
    </row>
    <row r="11">
      <c r="B11" s="49" t="inlineStr">
        <is>
          <t>Meetings (capacity-capped)</t>
        </is>
      </c>
      <c r="C11" s="36">
        <f>MIN(C10,Inputs!C12*Inputs!C13)</f>
        <v/>
      </c>
      <c r="D11" s="36">
        <f>MIN(D10,Inputs!C12*Inputs!C13)</f>
        <v/>
      </c>
      <c r="E11" s="36">
        <f>MIN(E10,Inputs!C12*Inputs!C13)</f>
        <v/>
      </c>
      <c r="F11" s="36">
        <f>MIN(F10,Inputs!C12*Inputs!C13)</f>
        <v/>
      </c>
      <c r="G11" s="36">
        <f>MIN(G10,Inputs!C12*Inputs!C13)</f>
        <v/>
      </c>
      <c r="H11" s="36">
        <f>MIN(H10,Inputs!C12*Inputs!C13)</f>
        <v/>
      </c>
      <c r="I11" s="36">
        <f>MIN(I10,Inputs!C12*Inputs!C13)</f>
        <v/>
      </c>
      <c r="J11" s="36">
        <f>MIN(J10,Inputs!C12*Inputs!C13)</f>
        <v/>
      </c>
      <c r="K11" s="36">
        <f>MIN(K10,Inputs!C12*Inputs!C13)</f>
        <v/>
      </c>
      <c r="L11" s="36">
        <f>MIN(L10,Inputs!C12*Inputs!C13)</f>
        <v/>
      </c>
      <c r="M11" s="36">
        <f>MIN(M10,Inputs!C12*Inputs!C13)</f>
        <v/>
      </c>
      <c r="N11" s="36">
        <f>MIN(N10,Inputs!C12*Inputs!C13)</f>
        <v/>
      </c>
      <c r="O11" s="53">
        <f>SUM(C11:N11)</f>
        <v/>
      </c>
    </row>
    <row r="12">
      <c r="B12" s="7" t="inlineStr">
        <is>
          <t>Deals Closed</t>
        </is>
      </c>
      <c r="C12" s="40" t="n">
        <v>0</v>
      </c>
      <c r="D12" s="40" t="n">
        <v>0</v>
      </c>
      <c r="E12" s="40">
        <f>ROUND(C11*Inputs!C23,0)</f>
        <v/>
      </c>
      <c r="F12" s="40">
        <f>ROUND(D11*Inputs!C23,0)</f>
        <v/>
      </c>
      <c r="G12" s="40">
        <f>ROUND(E11*Inputs!C23,0)</f>
        <v/>
      </c>
      <c r="H12" s="40">
        <f>ROUND(F11*Inputs!C23,0)</f>
        <v/>
      </c>
      <c r="I12" s="40">
        <f>ROUND(G11*Inputs!C23,0)</f>
        <v/>
      </c>
      <c r="J12" s="40">
        <f>ROUND(H11*Inputs!C23,0)</f>
        <v/>
      </c>
      <c r="K12" s="40">
        <f>ROUND(I11*Inputs!C23,0)</f>
        <v/>
      </c>
      <c r="L12" s="40">
        <f>ROUND(J11*Inputs!C23,0)</f>
        <v/>
      </c>
      <c r="M12" s="40">
        <f>ROUND(K11*Inputs!C23,0)</f>
        <v/>
      </c>
      <c r="N12" s="40">
        <f>ROUND(L11*Inputs!C23,0)</f>
        <v/>
      </c>
      <c r="O12" s="54">
        <f>SUM(C12:N12)</f>
        <v/>
      </c>
    </row>
    <row r="13">
      <c r="B13" s="28" t="inlineStr">
        <is>
          <t>Revenue</t>
        </is>
      </c>
      <c r="C13" s="48">
        <f>C12*Inputs!C43</f>
        <v/>
      </c>
      <c r="D13" s="48">
        <f>D12*Inputs!C43</f>
        <v/>
      </c>
      <c r="E13" s="48">
        <f>E12*Inputs!C43</f>
        <v/>
      </c>
      <c r="F13" s="48">
        <f>F12*Inputs!C43</f>
        <v/>
      </c>
      <c r="G13" s="48">
        <f>G12*Inputs!C43</f>
        <v/>
      </c>
      <c r="H13" s="48">
        <f>H12*Inputs!C43</f>
        <v/>
      </c>
      <c r="I13" s="48">
        <f>I12*Inputs!C43</f>
        <v/>
      </c>
      <c r="J13" s="48">
        <f>J12*Inputs!C43</f>
        <v/>
      </c>
      <c r="K13" s="48">
        <f>K12*Inputs!C43</f>
        <v/>
      </c>
      <c r="L13" s="48">
        <f>L12*Inputs!C43</f>
        <v/>
      </c>
      <c r="M13" s="48">
        <f>M12*Inputs!C43</f>
        <v/>
      </c>
      <c r="N13" s="48">
        <f>N12*Inputs!C43</f>
        <v/>
      </c>
      <c r="O13" s="55">
        <f>SUM(C13:N13)</f>
        <v/>
      </c>
    </row>
    <row r="14">
      <c r="B14" s="25" t="inlineStr">
        <is>
          <t>Gross Profit</t>
        </is>
      </c>
      <c r="C14" s="47">
        <f>C13*Inputs!C10</f>
        <v/>
      </c>
      <c r="D14" s="47">
        <f>D13*Inputs!C10</f>
        <v/>
      </c>
      <c r="E14" s="47">
        <f>E13*Inputs!C10</f>
        <v/>
      </c>
      <c r="F14" s="47">
        <f>F13*Inputs!C10</f>
        <v/>
      </c>
      <c r="G14" s="47">
        <f>G13*Inputs!C10</f>
        <v/>
      </c>
      <c r="H14" s="47">
        <f>H13*Inputs!C10</f>
        <v/>
      </c>
      <c r="I14" s="47">
        <f>I13*Inputs!C10</f>
        <v/>
      </c>
      <c r="J14" s="47">
        <f>J13*Inputs!C10</f>
        <v/>
      </c>
      <c r="K14" s="47">
        <f>K13*Inputs!C10</f>
        <v/>
      </c>
      <c r="L14" s="47">
        <f>L13*Inputs!C10</f>
        <v/>
      </c>
      <c r="M14" s="47">
        <f>M13*Inputs!C10</f>
        <v/>
      </c>
      <c r="N14" s="47">
        <f>N13*Inputs!C10</f>
        <v/>
      </c>
      <c r="O14" s="56">
        <f>SUM(C14:N14)</f>
        <v/>
      </c>
    </row>
    <row r="15">
      <c r="B15" s="28" t="inlineStr">
        <is>
          <t>Tool Costs (monthly)</t>
        </is>
      </c>
      <c r="C15" s="48">
        <f>ROUND(Inputs!C33/12,0)</f>
        <v/>
      </c>
      <c r="D15" s="48">
        <f>ROUND(Inputs!C33/12,0)</f>
        <v/>
      </c>
      <c r="E15" s="48">
        <f>ROUND(Inputs!C33/12,0)</f>
        <v/>
      </c>
      <c r="F15" s="48">
        <f>ROUND(Inputs!C33/12,0)</f>
        <v/>
      </c>
      <c r="G15" s="48">
        <f>ROUND(Inputs!C33/12,0)</f>
        <v/>
      </c>
      <c r="H15" s="48">
        <f>ROUND(Inputs!C33/12,0)</f>
        <v/>
      </c>
      <c r="I15" s="48">
        <f>ROUND(Inputs!C33/12,0)</f>
        <v/>
      </c>
      <c r="J15" s="48">
        <f>ROUND(Inputs!C33/12,0)</f>
        <v/>
      </c>
      <c r="K15" s="48">
        <f>ROUND(Inputs!C33/12,0)</f>
        <v/>
      </c>
      <c r="L15" s="48">
        <f>ROUND(Inputs!C33/12,0)</f>
        <v/>
      </c>
      <c r="M15" s="48">
        <f>ROUND(Inputs!C33/12,0)</f>
        <v/>
      </c>
      <c r="N15" s="48">
        <f>ROUND(Inputs!C33/12,0)</f>
        <v/>
      </c>
      <c r="O15" s="55">
        <f>SUM(C15:N15)</f>
        <v/>
      </c>
    </row>
    <row r="16">
      <c r="B16" s="10" t="inlineStr">
        <is>
          <t>NET CONTRIBUTION</t>
        </is>
      </c>
      <c r="C16" s="32">
        <f>C14-C15</f>
        <v/>
      </c>
      <c r="D16" s="32">
        <f>D14-D15</f>
        <v/>
      </c>
      <c r="E16" s="32">
        <f>E14-E15</f>
        <v/>
      </c>
      <c r="F16" s="32">
        <f>F14-F15</f>
        <v/>
      </c>
      <c r="G16" s="32">
        <f>G14-G15</f>
        <v/>
      </c>
      <c r="H16" s="32">
        <f>H14-H15</f>
        <v/>
      </c>
      <c r="I16" s="32">
        <f>I14-I15</f>
        <v/>
      </c>
      <c r="J16" s="32">
        <f>J14-J15</f>
        <v/>
      </c>
      <c r="K16" s="32">
        <f>K14-K15</f>
        <v/>
      </c>
      <c r="L16" s="32">
        <f>L14-L15</f>
        <v/>
      </c>
      <c r="M16" s="32">
        <f>M14-M15</f>
        <v/>
      </c>
      <c r="N16" s="32">
        <f>N14-N15</f>
        <v/>
      </c>
      <c r="O16" s="32">
        <f>SUM(C16:N16)</f>
        <v/>
      </c>
    </row>
    <row r="17">
      <c r="B17" s="28" t="inlineStr">
        <is>
          <t>Cumulative Revenue</t>
        </is>
      </c>
      <c r="C17" s="48">
        <f>C13</f>
        <v/>
      </c>
      <c r="D17" s="48">
        <f>C17+D13</f>
        <v/>
      </c>
      <c r="E17" s="48">
        <f>D17+E13</f>
        <v/>
      </c>
      <c r="F17" s="48">
        <f>E17+F13</f>
        <v/>
      </c>
      <c r="G17" s="48">
        <f>F17+G13</f>
        <v/>
      </c>
      <c r="H17" s="48">
        <f>G17+H13</f>
        <v/>
      </c>
      <c r="I17" s="48">
        <f>H17+I13</f>
        <v/>
      </c>
      <c r="J17" s="48">
        <f>I17+J13</f>
        <v/>
      </c>
      <c r="K17" s="48">
        <f>J17+K13</f>
        <v/>
      </c>
      <c r="L17" s="48">
        <f>K17+L13</f>
        <v/>
      </c>
      <c r="M17" s="48">
        <f>L17+M13</f>
        <v/>
      </c>
      <c r="N17" s="48">
        <f>M17+N13</f>
        <v/>
      </c>
      <c r="O17" s="55">
        <f>N17</f>
        <v/>
      </c>
    </row>
    <row r="19">
      <c r="B19" s="5" t="inlineStr">
        <is>
          <t>MODERATE SCENARIO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3" t="n"/>
    </row>
    <row r="20">
      <c r="B20" s="7" t="inlineStr">
        <is>
          <t>Metric</t>
        </is>
      </c>
      <c r="C20" s="8" t="inlineStr">
        <is>
          <t>M1</t>
        </is>
      </c>
      <c r="D20" s="8" t="inlineStr">
        <is>
          <t>M2</t>
        </is>
      </c>
      <c r="E20" s="8" t="inlineStr">
        <is>
          <t>M3</t>
        </is>
      </c>
      <c r="F20" s="8" t="inlineStr">
        <is>
          <t>M4</t>
        </is>
      </c>
      <c r="G20" s="8" t="inlineStr">
        <is>
          <t>M5</t>
        </is>
      </c>
      <c r="H20" s="8" t="inlineStr">
        <is>
          <t>M6</t>
        </is>
      </c>
      <c r="I20" s="8" t="inlineStr">
        <is>
          <t>M7</t>
        </is>
      </c>
      <c r="J20" s="8" t="inlineStr">
        <is>
          <t>M8</t>
        </is>
      </c>
      <c r="K20" s="8" t="inlineStr">
        <is>
          <t>M9</t>
        </is>
      </c>
      <c r="L20" s="8" t="inlineStr">
        <is>
          <t>M10</t>
        </is>
      </c>
      <c r="M20" s="8" t="inlineStr">
        <is>
          <t>M11</t>
        </is>
      </c>
      <c r="N20" s="8" t="inlineStr">
        <is>
          <t>M12</t>
        </is>
      </c>
      <c r="O20" s="8" t="inlineStr">
        <is>
          <t>Total</t>
        </is>
      </c>
    </row>
    <row r="21">
      <c r="B21" s="28" t="inlineStr">
        <is>
          <t>Prospects Contacted</t>
        </is>
      </c>
      <c r="C21" s="36">
        <f>ROUND(Inputs!D38,0)</f>
        <v/>
      </c>
      <c r="D21" s="36">
        <f>ROUND(Inputs!D38,0)</f>
        <v/>
      </c>
      <c r="E21" s="36">
        <f>ROUND(Inputs!D38,0)</f>
        <v/>
      </c>
      <c r="F21" s="36">
        <f>ROUND(Inputs!D38,0)</f>
        <v/>
      </c>
      <c r="G21" s="36">
        <f>ROUND(Inputs!D38,0)</f>
        <v/>
      </c>
      <c r="H21" s="36">
        <f>ROUND(Inputs!D38,0)</f>
        <v/>
      </c>
      <c r="I21" s="36">
        <f>ROUND(Inputs!D38,0)</f>
        <v/>
      </c>
      <c r="J21" s="36">
        <f>ROUND(Inputs!D38,0)</f>
        <v/>
      </c>
      <c r="K21" s="36">
        <f>ROUND(Inputs!D38,0)</f>
        <v/>
      </c>
      <c r="L21" s="36">
        <f>ROUND(Inputs!D38,0)</f>
        <v/>
      </c>
      <c r="M21" s="36">
        <f>ROUND(Inputs!D38,0)</f>
        <v/>
      </c>
      <c r="N21" s="36">
        <f>ROUND(Inputs!D38,0)</f>
        <v/>
      </c>
      <c r="O21" s="53">
        <f>SUM(C21:N21)</f>
        <v/>
      </c>
    </row>
    <row r="22">
      <c r="B22" s="25" t="inlineStr">
        <is>
          <t>Opens</t>
        </is>
      </c>
      <c r="C22" s="40">
        <f>ROUND(C21*Inputs!C20,0)</f>
        <v/>
      </c>
      <c r="D22" s="40">
        <f>ROUND(D21*Inputs!C20,0)</f>
        <v/>
      </c>
      <c r="E22" s="40">
        <f>ROUND(E21*Inputs!C20,0)</f>
        <v/>
      </c>
      <c r="F22" s="40">
        <f>ROUND(F21*Inputs!C20,0)</f>
        <v/>
      </c>
      <c r="G22" s="40">
        <f>ROUND(G21*Inputs!C20,0)</f>
        <v/>
      </c>
      <c r="H22" s="40">
        <f>ROUND(H21*Inputs!C20,0)</f>
        <v/>
      </c>
      <c r="I22" s="40">
        <f>ROUND(I21*Inputs!C20,0)</f>
        <v/>
      </c>
      <c r="J22" s="40">
        <f>ROUND(J21*Inputs!C20,0)</f>
        <v/>
      </c>
      <c r="K22" s="40">
        <f>ROUND(K21*Inputs!C20,0)</f>
        <v/>
      </c>
      <c r="L22" s="40">
        <f>ROUND(L21*Inputs!C20,0)</f>
        <v/>
      </c>
      <c r="M22" s="40">
        <f>ROUND(M21*Inputs!C20,0)</f>
        <v/>
      </c>
      <c r="N22" s="40">
        <f>ROUND(N21*Inputs!C20,0)</f>
        <v/>
      </c>
      <c r="O22" s="54">
        <f>SUM(C22:N22)</f>
        <v/>
      </c>
    </row>
    <row r="23">
      <c r="B23" s="28" t="inlineStr">
        <is>
          <t>Replies</t>
        </is>
      </c>
      <c r="C23" s="36">
        <f>ROUND(C21*Inputs!C21,0)</f>
        <v/>
      </c>
      <c r="D23" s="36">
        <f>ROUND(D21*Inputs!C21,0)</f>
        <v/>
      </c>
      <c r="E23" s="36">
        <f>ROUND(E21*Inputs!C21,0)</f>
        <v/>
      </c>
      <c r="F23" s="36">
        <f>ROUND(F21*Inputs!C21,0)</f>
        <v/>
      </c>
      <c r="G23" s="36">
        <f>ROUND(G21*Inputs!C21,0)</f>
        <v/>
      </c>
      <c r="H23" s="36">
        <f>ROUND(H21*Inputs!C21,0)</f>
        <v/>
      </c>
      <c r="I23" s="36">
        <f>ROUND(I21*Inputs!C21,0)</f>
        <v/>
      </c>
      <c r="J23" s="36">
        <f>ROUND(J21*Inputs!C21,0)</f>
        <v/>
      </c>
      <c r="K23" s="36">
        <f>ROUND(K21*Inputs!C21,0)</f>
        <v/>
      </c>
      <c r="L23" s="36">
        <f>ROUND(L21*Inputs!C21,0)</f>
        <v/>
      </c>
      <c r="M23" s="36">
        <f>ROUND(M21*Inputs!C21,0)</f>
        <v/>
      </c>
      <c r="N23" s="36">
        <f>ROUND(N21*Inputs!C21,0)</f>
        <v/>
      </c>
      <c r="O23" s="53">
        <f>SUM(C23:N23)</f>
        <v/>
      </c>
    </row>
    <row r="24">
      <c r="B24" s="25" t="inlineStr">
        <is>
          <t>Meetings Booked (raw)</t>
        </is>
      </c>
      <c r="C24" s="40">
        <f>ROUND(C23*Inputs!C22,0)</f>
        <v/>
      </c>
      <c r="D24" s="40">
        <f>ROUND(D23*Inputs!C22,0)</f>
        <v/>
      </c>
      <c r="E24" s="40">
        <f>ROUND(E23*Inputs!C22,0)</f>
        <v/>
      </c>
      <c r="F24" s="40">
        <f>ROUND(F23*Inputs!C22,0)</f>
        <v/>
      </c>
      <c r="G24" s="40">
        <f>ROUND(G23*Inputs!C22,0)</f>
        <v/>
      </c>
      <c r="H24" s="40">
        <f>ROUND(H23*Inputs!C22,0)</f>
        <v/>
      </c>
      <c r="I24" s="40">
        <f>ROUND(I23*Inputs!C22,0)</f>
        <v/>
      </c>
      <c r="J24" s="40">
        <f>ROUND(J23*Inputs!C22,0)</f>
        <v/>
      </c>
      <c r="K24" s="40">
        <f>ROUND(K23*Inputs!C22,0)</f>
        <v/>
      </c>
      <c r="L24" s="40">
        <f>ROUND(L23*Inputs!C22,0)</f>
        <v/>
      </c>
      <c r="M24" s="40">
        <f>ROUND(M23*Inputs!C22,0)</f>
        <v/>
      </c>
      <c r="N24" s="40">
        <f>ROUND(N23*Inputs!C22,0)</f>
        <v/>
      </c>
      <c r="O24" s="54">
        <f>SUM(C24:N24)</f>
        <v/>
      </c>
    </row>
    <row r="25">
      <c r="B25" s="49" t="inlineStr">
        <is>
          <t>Meetings (capacity-capped)</t>
        </is>
      </c>
      <c r="C25" s="36">
        <f>MIN(C24,Inputs!C12*Inputs!C13)</f>
        <v/>
      </c>
      <c r="D25" s="36">
        <f>MIN(D24,Inputs!C12*Inputs!C13)</f>
        <v/>
      </c>
      <c r="E25" s="36">
        <f>MIN(E24,Inputs!C12*Inputs!C13)</f>
        <v/>
      </c>
      <c r="F25" s="36">
        <f>MIN(F24,Inputs!C12*Inputs!C13)</f>
        <v/>
      </c>
      <c r="G25" s="36">
        <f>MIN(G24,Inputs!C12*Inputs!C13)</f>
        <v/>
      </c>
      <c r="H25" s="36">
        <f>MIN(H24,Inputs!C12*Inputs!C13)</f>
        <v/>
      </c>
      <c r="I25" s="36">
        <f>MIN(I24,Inputs!C12*Inputs!C13)</f>
        <v/>
      </c>
      <c r="J25" s="36">
        <f>MIN(J24,Inputs!C12*Inputs!C13)</f>
        <v/>
      </c>
      <c r="K25" s="36">
        <f>MIN(K24,Inputs!C12*Inputs!C13)</f>
        <v/>
      </c>
      <c r="L25" s="36">
        <f>MIN(L24,Inputs!C12*Inputs!C13)</f>
        <v/>
      </c>
      <c r="M25" s="36">
        <f>MIN(M24,Inputs!C12*Inputs!C13)</f>
        <v/>
      </c>
      <c r="N25" s="36">
        <f>MIN(N24,Inputs!C12*Inputs!C13)</f>
        <v/>
      </c>
      <c r="O25" s="53">
        <f>SUM(C25:N25)</f>
        <v/>
      </c>
    </row>
    <row r="26">
      <c r="B26" s="7" t="inlineStr">
        <is>
          <t>Deals Closed</t>
        </is>
      </c>
      <c r="C26" s="40" t="n">
        <v>0</v>
      </c>
      <c r="D26" s="40" t="n">
        <v>0</v>
      </c>
      <c r="E26" s="40">
        <f>ROUND(C25*Inputs!C23,0)</f>
        <v/>
      </c>
      <c r="F26" s="40">
        <f>ROUND(D25*Inputs!C23,0)</f>
        <v/>
      </c>
      <c r="G26" s="40">
        <f>ROUND(E25*Inputs!C23,0)</f>
        <v/>
      </c>
      <c r="H26" s="40">
        <f>ROUND(F25*Inputs!C23,0)</f>
        <v/>
      </c>
      <c r="I26" s="40">
        <f>ROUND(G25*Inputs!C23,0)</f>
        <v/>
      </c>
      <c r="J26" s="40">
        <f>ROUND(H25*Inputs!C23,0)</f>
        <v/>
      </c>
      <c r="K26" s="40">
        <f>ROUND(I25*Inputs!C23,0)</f>
        <v/>
      </c>
      <c r="L26" s="40">
        <f>ROUND(J25*Inputs!C23,0)</f>
        <v/>
      </c>
      <c r="M26" s="40">
        <f>ROUND(K25*Inputs!C23,0)</f>
        <v/>
      </c>
      <c r="N26" s="40">
        <f>ROUND(L25*Inputs!C23,0)</f>
        <v/>
      </c>
      <c r="O26" s="54">
        <f>SUM(C26:N26)</f>
        <v/>
      </c>
    </row>
    <row r="27">
      <c r="B27" s="28" t="inlineStr">
        <is>
          <t>Revenue</t>
        </is>
      </c>
      <c r="C27" s="48">
        <f>C26*Inputs!C43</f>
        <v/>
      </c>
      <c r="D27" s="48">
        <f>D26*Inputs!C43</f>
        <v/>
      </c>
      <c r="E27" s="48">
        <f>E26*Inputs!C43</f>
        <v/>
      </c>
      <c r="F27" s="48">
        <f>F26*Inputs!C43</f>
        <v/>
      </c>
      <c r="G27" s="48">
        <f>G26*Inputs!C43</f>
        <v/>
      </c>
      <c r="H27" s="48">
        <f>H26*Inputs!C43</f>
        <v/>
      </c>
      <c r="I27" s="48">
        <f>I26*Inputs!C43</f>
        <v/>
      </c>
      <c r="J27" s="48">
        <f>J26*Inputs!C43</f>
        <v/>
      </c>
      <c r="K27" s="48">
        <f>K26*Inputs!C43</f>
        <v/>
      </c>
      <c r="L27" s="48">
        <f>L26*Inputs!C43</f>
        <v/>
      </c>
      <c r="M27" s="48">
        <f>M26*Inputs!C43</f>
        <v/>
      </c>
      <c r="N27" s="48">
        <f>N26*Inputs!C43</f>
        <v/>
      </c>
      <c r="O27" s="55">
        <f>SUM(C27:N27)</f>
        <v/>
      </c>
    </row>
    <row r="28">
      <c r="B28" s="25" t="inlineStr">
        <is>
          <t>Gross Profit</t>
        </is>
      </c>
      <c r="C28" s="47">
        <f>C27*Inputs!C10</f>
        <v/>
      </c>
      <c r="D28" s="47">
        <f>D27*Inputs!C10</f>
        <v/>
      </c>
      <c r="E28" s="47">
        <f>E27*Inputs!C10</f>
        <v/>
      </c>
      <c r="F28" s="47">
        <f>F27*Inputs!C10</f>
        <v/>
      </c>
      <c r="G28" s="47">
        <f>G27*Inputs!C10</f>
        <v/>
      </c>
      <c r="H28" s="47">
        <f>H27*Inputs!C10</f>
        <v/>
      </c>
      <c r="I28" s="47">
        <f>I27*Inputs!C10</f>
        <v/>
      </c>
      <c r="J28" s="47">
        <f>J27*Inputs!C10</f>
        <v/>
      </c>
      <c r="K28" s="47">
        <f>K27*Inputs!C10</f>
        <v/>
      </c>
      <c r="L28" s="47">
        <f>L27*Inputs!C10</f>
        <v/>
      </c>
      <c r="M28" s="47">
        <f>M27*Inputs!C10</f>
        <v/>
      </c>
      <c r="N28" s="47">
        <f>N27*Inputs!C10</f>
        <v/>
      </c>
      <c r="O28" s="56">
        <f>SUM(C28:N28)</f>
        <v/>
      </c>
    </row>
    <row r="29">
      <c r="B29" s="28" t="inlineStr">
        <is>
          <t>Tool Costs (monthly)</t>
        </is>
      </c>
      <c r="C29" s="48">
        <f>ROUND(Inputs!D33/12,0)</f>
        <v/>
      </c>
      <c r="D29" s="48">
        <f>ROUND(Inputs!D33/12,0)</f>
        <v/>
      </c>
      <c r="E29" s="48">
        <f>ROUND(Inputs!D33/12,0)</f>
        <v/>
      </c>
      <c r="F29" s="48">
        <f>ROUND(Inputs!D33/12,0)</f>
        <v/>
      </c>
      <c r="G29" s="48">
        <f>ROUND(Inputs!D33/12,0)</f>
        <v/>
      </c>
      <c r="H29" s="48">
        <f>ROUND(Inputs!D33/12,0)</f>
        <v/>
      </c>
      <c r="I29" s="48">
        <f>ROUND(Inputs!D33/12,0)</f>
        <v/>
      </c>
      <c r="J29" s="48">
        <f>ROUND(Inputs!D33/12,0)</f>
        <v/>
      </c>
      <c r="K29" s="48">
        <f>ROUND(Inputs!D33/12,0)</f>
        <v/>
      </c>
      <c r="L29" s="48">
        <f>ROUND(Inputs!D33/12,0)</f>
        <v/>
      </c>
      <c r="M29" s="48">
        <f>ROUND(Inputs!D33/12,0)</f>
        <v/>
      </c>
      <c r="N29" s="48">
        <f>ROUND(Inputs!D33/12,0)</f>
        <v/>
      </c>
      <c r="O29" s="55">
        <f>SUM(C29:N29)</f>
        <v/>
      </c>
    </row>
    <row r="30">
      <c r="B30" s="10" t="inlineStr">
        <is>
          <t>NET CONTRIBUTION</t>
        </is>
      </c>
      <c r="C30" s="32">
        <f>C28-C29</f>
        <v/>
      </c>
      <c r="D30" s="32">
        <f>D28-D29</f>
        <v/>
      </c>
      <c r="E30" s="32">
        <f>E28-E29</f>
        <v/>
      </c>
      <c r="F30" s="32">
        <f>F28-F29</f>
        <v/>
      </c>
      <c r="G30" s="32">
        <f>G28-G29</f>
        <v/>
      </c>
      <c r="H30" s="32">
        <f>H28-H29</f>
        <v/>
      </c>
      <c r="I30" s="32">
        <f>I28-I29</f>
        <v/>
      </c>
      <c r="J30" s="32">
        <f>J28-J29</f>
        <v/>
      </c>
      <c r="K30" s="32">
        <f>K28-K29</f>
        <v/>
      </c>
      <c r="L30" s="32">
        <f>L28-L29</f>
        <v/>
      </c>
      <c r="M30" s="32">
        <f>M28-M29</f>
        <v/>
      </c>
      <c r="N30" s="32">
        <f>N28-N29</f>
        <v/>
      </c>
      <c r="O30" s="32">
        <f>SUM(C30:N30)</f>
        <v/>
      </c>
    </row>
    <row r="31">
      <c r="B31" s="28" t="inlineStr">
        <is>
          <t>Cumulative Revenue</t>
        </is>
      </c>
      <c r="C31" s="48">
        <f>C27</f>
        <v/>
      </c>
      <c r="D31" s="48">
        <f>C31+D27</f>
        <v/>
      </c>
      <c r="E31" s="48">
        <f>D31+E27</f>
        <v/>
      </c>
      <c r="F31" s="48">
        <f>E31+F27</f>
        <v/>
      </c>
      <c r="G31" s="48">
        <f>F31+G27</f>
        <v/>
      </c>
      <c r="H31" s="48">
        <f>G31+H27</f>
        <v/>
      </c>
      <c r="I31" s="48">
        <f>H31+I27</f>
        <v/>
      </c>
      <c r="J31" s="48">
        <f>I31+J27</f>
        <v/>
      </c>
      <c r="K31" s="48">
        <f>J31+K27</f>
        <v/>
      </c>
      <c r="L31" s="48">
        <f>K31+L27</f>
        <v/>
      </c>
      <c r="M31" s="48">
        <f>L31+M27</f>
        <v/>
      </c>
      <c r="N31" s="48">
        <f>M31+N27</f>
        <v/>
      </c>
      <c r="O31" s="55">
        <f>N31</f>
        <v/>
      </c>
    </row>
    <row r="33">
      <c r="B33" s="5" t="inlineStr">
        <is>
          <t>AGGRESSIVE SCENARIO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3" t="n"/>
    </row>
    <row r="34">
      <c r="B34" s="7" t="inlineStr">
        <is>
          <t>Metric</t>
        </is>
      </c>
      <c r="C34" s="8" t="inlineStr">
        <is>
          <t>M1</t>
        </is>
      </c>
      <c r="D34" s="8" t="inlineStr">
        <is>
          <t>M2</t>
        </is>
      </c>
      <c r="E34" s="8" t="inlineStr">
        <is>
          <t>M3</t>
        </is>
      </c>
      <c r="F34" s="8" t="inlineStr">
        <is>
          <t>M4</t>
        </is>
      </c>
      <c r="G34" s="8" t="inlineStr">
        <is>
          <t>M5</t>
        </is>
      </c>
      <c r="H34" s="8" t="inlineStr">
        <is>
          <t>M6</t>
        </is>
      </c>
      <c r="I34" s="8" t="inlineStr">
        <is>
          <t>M7</t>
        </is>
      </c>
      <c r="J34" s="8" t="inlineStr">
        <is>
          <t>M8</t>
        </is>
      </c>
      <c r="K34" s="8" t="inlineStr">
        <is>
          <t>M9</t>
        </is>
      </c>
      <c r="L34" s="8" t="inlineStr">
        <is>
          <t>M10</t>
        </is>
      </c>
      <c r="M34" s="8" t="inlineStr">
        <is>
          <t>M11</t>
        </is>
      </c>
      <c r="N34" s="8" t="inlineStr">
        <is>
          <t>M12</t>
        </is>
      </c>
      <c r="O34" s="8" t="inlineStr">
        <is>
          <t>Total</t>
        </is>
      </c>
    </row>
    <row r="35">
      <c r="B35" s="28" t="inlineStr">
        <is>
          <t>Prospects Contacted</t>
        </is>
      </c>
      <c r="C35" s="36">
        <f>ROUND(Inputs!D39,0)</f>
        <v/>
      </c>
      <c r="D35" s="36">
        <f>ROUND(Inputs!D39,0)</f>
        <v/>
      </c>
      <c r="E35" s="36">
        <f>ROUND(Inputs!D39,0)</f>
        <v/>
      </c>
      <c r="F35" s="36">
        <f>ROUND(Inputs!D39,0)</f>
        <v/>
      </c>
      <c r="G35" s="36">
        <f>ROUND(Inputs!D39,0)</f>
        <v/>
      </c>
      <c r="H35" s="36">
        <f>ROUND(Inputs!D39,0)</f>
        <v/>
      </c>
      <c r="I35" s="36">
        <f>ROUND(Inputs!D39,0)</f>
        <v/>
      </c>
      <c r="J35" s="36">
        <f>ROUND(Inputs!D39,0)</f>
        <v/>
      </c>
      <c r="K35" s="36">
        <f>ROUND(Inputs!D39,0)</f>
        <v/>
      </c>
      <c r="L35" s="36">
        <f>ROUND(Inputs!D39,0)</f>
        <v/>
      </c>
      <c r="M35" s="36">
        <f>ROUND(Inputs!D39,0)</f>
        <v/>
      </c>
      <c r="N35" s="36">
        <f>ROUND(Inputs!D39,0)</f>
        <v/>
      </c>
      <c r="O35" s="53">
        <f>SUM(C35:N35)</f>
        <v/>
      </c>
    </row>
    <row r="36">
      <c r="B36" s="25" t="inlineStr">
        <is>
          <t>Opens</t>
        </is>
      </c>
      <c r="C36" s="40">
        <f>ROUND(C35*Inputs!C20,0)</f>
        <v/>
      </c>
      <c r="D36" s="40">
        <f>ROUND(D35*Inputs!C20,0)</f>
        <v/>
      </c>
      <c r="E36" s="40">
        <f>ROUND(E35*Inputs!C20,0)</f>
        <v/>
      </c>
      <c r="F36" s="40">
        <f>ROUND(F35*Inputs!C20,0)</f>
        <v/>
      </c>
      <c r="G36" s="40">
        <f>ROUND(G35*Inputs!C20,0)</f>
        <v/>
      </c>
      <c r="H36" s="40">
        <f>ROUND(H35*Inputs!C20,0)</f>
        <v/>
      </c>
      <c r="I36" s="40">
        <f>ROUND(I35*Inputs!C20,0)</f>
        <v/>
      </c>
      <c r="J36" s="40">
        <f>ROUND(J35*Inputs!C20,0)</f>
        <v/>
      </c>
      <c r="K36" s="40">
        <f>ROUND(K35*Inputs!C20,0)</f>
        <v/>
      </c>
      <c r="L36" s="40">
        <f>ROUND(L35*Inputs!C20,0)</f>
        <v/>
      </c>
      <c r="M36" s="40">
        <f>ROUND(M35*Inputs!C20,0)</f>
        <v/>
      </c>
      <c r="N36" s="40">
        <f>ROUND(N35*Inputs!C20,0)</f>
        <v/>
      </c>
      <c r="O36" s="54">
        <f>SUM(C36:N36)</f>
        <v/>
      </c>
    </row>
    <row r="37">
      <c r="B37" s="28" t="inlineStr">
        <is>
          <t>Replies</t>
        </is>
      </c>
      <c r="C37" s="36">
        <f>ROUND(C35*Inputs!C21,0)</f>
        <v/>
      </c>
      <c r="D37" s="36">
        <f>ROUND(D35*Inputs!C21,0)</f>
        <v/>
      </c>
      <c r="E37" s="36">
        <f>ROUND(E35*Inputs!C21,0)</f>
        <v/>
      </c>
      <c r="F37" s="36">
        <f>ROUND(F35*Inputs!C21,0)</f>
        <v/>
      </c>
      <c r="G37" s="36">
        <f>ROUND(G35*Inputs!C21,0)</f>
        <v/>
      </c>
      <c r="H37" s="36">
        <f>ROUND(H35*Inputs!C21,0)</f>
        <v/>
      </c>
      <c r="I37" s="36">
        <f>ROUND(I35*Inputs!C21,0)</f>
        <v/>
      </c>
      <c r="J37" s="36">
        <f>ROUND(J35*Inputs!C21,0)</f>
        <v/>
      </c>
      <c r="K37" s="36">
        <f>ROUND(K35*Inputs!C21,0)</f>
        <v/>
      </c>
      <c r="L37" s="36">
        <f>ROUND(L35*Inputs!C21,0)</f>
        <v/>
      </c>
      <c r="M37" s="36">
        <f>ROUND(M35*Inputs!C21,0)</f>
        <v/>
      </c>
      <c r="N37" s="36">
        <f>ROUND(N35*Inputs!C21,0)</f>
        <v/>
      </c>
      <c r="O37" s="53">
        <f>SUM(C37:N37)</f>
        <v/>
      </c>
    </row>
    <row r="38">
      <c r="B38" s="25" t="inlineStr">
        <is>
          <t>Meetings Booked (raw)</t>
        </is>
      </c>
      <c r="C38" s="40">
        <f>ROUND(C37*Inputs!C22,0)</f>
        <v/>
      </c>
      <c r="D38" s="40">
        <f>ROUND(D37*Inputs!C22,0)</f>
        <v/>
      </c>
      <c r="E38" s="40">
        <f>ROUND(E37*Inputs!C22,0)</f>
        <v/>
      </c>
      <c r="F38" s="40">
        <f>ROUND(F37*Inputs!C22,0)</f>
        <v/>
      </c>
      <c r="G38" s="40">
        <f>ROUND(G37*Inputs!C22,0)</f>
        <v/>
      </c>
      <c r="H38" s="40">
        <f>ROUND(H37*Inputs!C22,0)</f>
        <v/>
      </c>
      <c r="I38" s="40">
        <f>ROUND(I37*Inputs!C22,0)</f>
        <v/>
      </c>
      <c r="J38" s="40">
        <f>ROUND(J37*Inputs!C22,0)</f>
        <v/>
      </c>
      <c r="K38" s="40">
        <f>ROUND(K37*Inputs!C22,0)</f>
        <v/>
      </c>
      <c r="L38" s="40">
        <f>ROUND(L37*Inputs!C22,0)</f>
        <v/>
      </c>
      <c r="M38" s="40">
        <f>ROUND(M37*Inputs!C22,0)</f>
        <v/>
      </c>
      <c r="N38" s="40">
        <f>ROUND(N37*Inputs!C22,0)</f>
        <v/>
      </c>
      <c r="O38" s="54">
        <f>SUM(C38:N38)</f>
        <v/>
      </c>
    </row>
    <row r="39">
      <c r="B39" s="49" t="inlineStr">
        <is>
          <t>Meetings (capacity-capped)</t>
        </is>
      </c>
      <c r="C39" s="36">
        <f>MIN(C38,Inputs!C12*Inputs!C13)</f>
        <v/>
      </c>
      <c r="D39" s="36">
        <f>MIN(D38,Inputs!C12*Inputs!C13)</f>
        <v/>
      </c>
      <c r="E39" s="36">
        <f>MIN(E38,Inputs!C12*Inputs!C13)</f>
        <v/>
      </c>
      <c r="F39" s="36">
        <f>MIN(F38,Inputs!C12*Inputs!C13)</f>
        <v/>
      </c>
      <c r="G39" s="36">
        <f>MIN(G38,Inputs!C12*Inputs!C13)</f>
        <v/>
      </c>
      <c r="H39" s="36">
        <f>MIN(H38,Inputs!C12*Inputs!C13)</f>
        <v/>
      </c>
      <c r="I39" s="36">
        <f>MIN(I38,Inputs!C12*Inputs!C13)</f>
        <v/>
      </c>
      <c r="J39" s="36">
        <f>MIN(J38,Inputs!C12*Inputs!C13)</f>
        <v/>
      </c>
      <c r="K39" s="36">
        <f>MIN(K38,Inputs!C12*Inputs!C13)</f>
        <v/>
      </c>
      <c r="L39" s="36">
        <f>MIN(L38,Inputs!C12*Inputs!C13)</f>
        <v/>
      </c>
      <c r="M39" s="36">
        <f>MIN(M38,Inputs!C12*Inputs!C13)</f>
        <v/>
      </c>
      <c r="N39" s="36">
        <f>MIN(N38,Inputs!C12*Inputs!C13)</f>
        <v/>
      </c>
      <c r="O39" s="53">
        <f>SUM(C39:N39)</f>
        <v/>
      </c>
    </row>
    <row r="40">
      <c r="B40" s="7" t="inlineStr">
        <is>
          <t>Deals Closed</t>
        </is>
      </c>
      <c r="C40" s="40" t="n">
        <v>0</v>
      </c>
      <c r="D40" s="40" t="n">
        <v>0</v>
      </c>
      <c r="E40" s="40">
        <f>ROUND(C39*Inputs!C23,0)</f>
        <v/>
      </c>
      <c r="F40" s="40">
        <f>ROUND(D39*Inputs!C23,0)</f>
        <v/>
      </c>
      <c r="G40" s="40">
        <f>ROUND(E39*Inputs!C23,0)</f>
        <v/>
      </c>
      <c r="H40" s="40">
        <f>ROUND(F39*Inputs!C23,0)</f>
        <v/>
      </c>
      <c r="I40" s="40">
        <f>ROUND(G39*Inputs!C23,0)</f>
        <v/>
      </c>
      <c r="J40" s="40">
        <f>ROUND(H39*Inputs!C23,0)</f>
        <v/>
      </c>
      <c r="K40" s="40">
        <f>ROUND(I39*Inputs!C23,0)</f>
        <v/>
      </c>
      <c r="L40" s="40">
        <f>ROUND(J39*Inputs!C23,0)</f>
        <v/>
      </c>
      <c r="M40" s="40">
        <f>ROUND(K39*Inputs!C23,0)</f>
        <v/>
      </c>
      <c r="N40" s="40">
        <f>ROUND(L39*Inputs!C23,0)</f>
        <v/>
      </c>
      <c r="O40" s="54">
        <f>SUM(C40:N40)</f>
        <v/>
      </c>
    </row>
    <row r="41">
      <c r="B41" s="28" t="inlineStr">
        <is>
          <t>Revenue</t>
        </is>
      </c>
      <c r="C41" s="48">
        <f>C40*Inputs!C43</f>
        <v/>
      </c>
      <c r="D41" s="48">
        <f>D40*Inputs!C43</f>
        <v/>
      </c>
      <c r="E41" s="48">
        <f>E40*Inputs!C43</f>
        <v/>
      </c>
      <c r="F41" s="48">
        <f>F40*Inputs!C43</f>
        <v/>
      </c>
      <c r="G41" s="48">
        <f>G40*Inputs!C43</f>
        <v/>
      </c>
      <c r="H41" s="48">
        <f>H40*Inputs!C43</f>
        <v/>
      </c>
      <c r="I41" s="48">
        <f>I40*Inputs!C43</f>
        <v/>
      </c>
      <c r="J41" s="48">
        <f>J40*Inputs!C43</f>
        <v/>
      </c>
      <c r="K41" s="48">
        <f>K40*Inputs!C43</f>
        <v/>
      </c>
      <c r="L41" s="48">
        <f>L40*Inputs!C43</f>
        <v/>
      </c>
      <c r="M41" s="48">
        <f>M40*Inputs!C43</f>
        <v/>
      </c>
      <c r="N41" s="48">
        <f>N40*Inputs!C43</f>
        <v/>
      </c>
      <c r="O41" s="55">
        <f>SUM(C41:N41)</f>
        <v/>
      </c>
    </row>
    <row r="42">
      <c r="B42" s="25" t="inlineStr">
        <is>
          <t>Gross Profit</t>
        </is>
      </c>
      <c r="C42" s="47">
        <f>C41*Inputs!C10</f>
        <v/>
      </c>
      <c r="D42" s="47">
        <f>D41*Inputs!C10</f>
        <v/>
      </c>
      <c r="E42" s="47">
        <f>E41*Inputs!C10</f>
        <v/>
      </c>
      <c r="F42" s="47">
        <f>F41*Inputs!C10</f>
        <v/>
      </c>
      <c r="G42" s="47">
        <f>G41*Inputs!C10</f>
        <v/>
      </c>
      <c r="H42" s="47">
        <f>H41*Inputs!C10</f>
        <v/>
      </c>
      <c r="I42" s="47">
        <f>I41*Inputs!C10</f>
        <v/>
      </c>
      <c r="J42" s="47">
        <f>J41*Inputs!C10</f>
        <v/>
      </c>
      <c r="K42" s="47">
        <f>K41*Inputs!C10</f>
        <v/>
      </c>
      <c r="L42" s="47">
        <f>L41*Inputs!C10</f>
        <v/>
      </c>
      <c r="M42" s="47">
        <f>M41*Inputs!C10</f>
        <v/>
      </c>
      <c r="N42" s="47">
        <f>N41*Inputs!C10</f>
        <v/>
      </c>
      <c r="O42" s="56">
        <f>SUM(C42:N42)</f>
        <v/>
      </c>
    </row>
    <row r="43">
      <c r="B43" s="28" t="inlineStr">
        <is>
          <t>Tool Costs (monthly)</t>
        </is>
      </c>
      <c r="C43" s="48">
        <f>ROUND(Inputs!E33/12,0)</f>
        <v/>
      </c>
      <c r="D43" s="48">
        <f>ROUND(Inputs!E33/12,0)</f>
        <v/>
      </c>
      <c r="E43" s="48">
        <f>ROUND(Inputs!E33/12,0)</f>
        <v/>
      </c>
      <c r="F43" s="48">
        <f>ROUND(Inputs!E33/12,0)</f>
        <v/>
      </c>
      <c r="G43" s="48">
        <f>ROUND(Inputs!E33/12,0)</f>
        <v/>
      </c>
      <c r="H43" s="48">
        <f>ROUND(Inputs!E33/12,0)</f>
        <v/>
      </c>
      <c r="I43" s="48">
        <f>ROUND(Inputs!E33/12,0)</f>
        <v/>
      </c>
      <c r="J43" s="48">
        <f>ROUND(Inputs!E33/12,0)</f>
        <v/>
      </c>
      <c r="K43" s="48">
        <f>ROUND(Inputs!E33/12,0)</f>
        <v/>
      </c>
      <c r="L43" s="48">
        <f>ROUND(Inputs!E33/12,0)</f>
        <v/>
      </c>
      <c r="M43" s="48">
        <f>ROUND(Inputs!E33/12,0)</f>
        <v/>
      </c>
      <c r="N43" s="48">
        <f>ROUND(Inputs!E33/12,0)</f>
        <v/>
      </c>
      <c r="O43" s="55">
        <f>SUM(C43:N43)</f>
        <v/>
      </c>
    </row>
    <row r="44">
      <c r="B44" s="10" t="inlineStr">
        <is>
          <t>NET CONTRIBUTION</t>
        </is>
      </c>
      <c r="C44" s="32">
        <f>C42-C43</f>
        <v/>
      </c>
      <c r="D44" s="32">
        <f>D42-D43</f>
        <v/>
      </c>
      <c r="E44" s="32">
        <f>E42-E43</f>
        <v/>
      </c>
      <c r="F44" s="32">
        <f>F42-F43</f>
        <v/>
      </c>
      <c r="G44" s="32">
        <f>G42-G43</f>
        <v/>
      </c>
      <c r="H44" s="32">
        <f>H42-H43</f>
        <v/>
      </c>
      <c r="I44" s="32">
        <f>I42-I43</f>
        <v/>
      </c>
      <c r="J44" s="32">
        <f>J42-J43</f>
        <v/>
      </c>
      <c r="K44" s="32">
        <f>K42-K43</f>
        <v/>
      </c>
      <c r="L44" s="32">
        <f>L42-L43</f>
        <v/>
      </c>
      <c r="M44" s="32">
        <f>M42-M43</f>
        <v/>
      </c>
      <c r="N44" s="32">
        <f>N42-N43</f>
        <v/>
      </c>
      <c r="O44" s="32">
        <f>SUM(C44:N44)</f>
        <v/>
      </c>
    </row>
    <row r="45">
      <c r="B45" s="28" t="inlineStr">
        <is>
          <t>Cumulative Revenue</t>
        </is>
      </c>
      <c r="C45" s="48">
        <f>C41</f>
        <v/>
      </c>
      <c r="D45" s="48">
        <f>C45+D41</f>
        <v/>
      </c>
      <c r="E45" s="48">
        <f>D45+E41</f>
        <v/>
      </c>
      <c r="F45" s="48">
        <f>E45+F41</f>
        <v/>
      </c>
      <c r="G45" s="48">
        <f>F45+G41</f>
        <v/>
      </c>
      <c r="H45" s="48">
        <f>G45+H41</f>
        <v/>
      </c>
      <c r="I45" s="48">
        <f>H45+I41</f>
        <v/>
      </c>
      <c r="J45" s="48">
        <f>I45+J41</f>
        <v/>
      </c>
      <c r="K45" s="48">
        <f>J45+K41</f>
        <v/>
      </c>
      <c r="L45" s="48">
        <f>K45+L41</f>
        <v/>
      </c>
      <c r="M45" s="48">
        <f>L45+M41</f>
        <v/>
      </c>
      <c r="N45" s="48">
        <f>M45+N41</f>
        <v/>
      </c>
      <c r="O45" s="55">
        <f>N45</f>
        <v/>
      </c>
    </row>
    <row r="47">
      <c r="B47" s="5" t="inlineStr">
        <is>
          <t>12-MONTH SUMMARY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3" t="n"/>
    </row>
    <row r="48">
      <c r="B48" s="7" t="inlineStr">
        <is>
          <t>Metric</t>
        </is>
      </c>
      <c r="C48" s="22" t="inlineStr">
        <is>
          <t>Free</t>
        </is>
      </c>
      <c r="D48" s="23" t="inlineStr">
        <is>
          <t>Moderate</t>
        </is>
      </c>
      <c r="E48" s="24" t="inlineStr">
        <is>
          <t>Aggressive</t>
        </is>
      </c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</row>
    <row r="49">
      <c r="B49" s="28" t="inlineStr">
        <is>
          <t>Prospects Contacted</t>
        </is>
      </c>
      <c r="C49" s="57">
        <f>O7</f>
        <v/>
      </c>
      <c r="D49" s="51">
        <f>O21</f>
        <v/>
      </c>
      <c r="E49" s="58">
        <f>O35</f>
        <v/>
      </c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</row>
    <row r="50">
      <c r="B50" s="25" t="inlineStr">
        <is>
          <t>Meetings Booked</t>
        </is>
      </c>
      <c r="C50" s="59">
        <f>O11</f>
        <v/>
      </c>
      <c r="D50" s="60">
        <f>O25</f>
        <v/>
      </c>
      <c r="E50" s="61">
        <f>O39</f>
        <v/>
      </c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</row>
    <row r="51">
      <c r="B51" s="28" t="inlineStr">
        <is>
          <t>Deals Closed</t>
        </is>
      </c>
      <c r="C51" s="57">
        <f>O12</f>
        <v/>
      </c>
      <c r="D51" s="51">
        <f>O26</f>
        <v/>
      </c>
      <c r="E51" s="58">
        <f>O40</f>
        <v/>
      </c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</row>
    <row r="52">
      <c r="B52" s="25" t="inlineStr">
        <is>
          <t>Revenue</t>
        </is>
      </c>
      <c r="C52" s="62">
        <f>O13</f>
        <v/>
      </c>
      <c r="D52" s="63">
        <f>O27</f>
        <v/>
      </c>
      <c r="E52" s="64">
        <f>O41</f>
        <v/>
      </c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</row>
    <row r="53">
      <c r="B53" s="28" t="inlineStr">
        <is>
          <t>Gross Profit</t>
        </is>
      </c>
      <c r="C53" s="65">
        <f>O14</f>
        <v/>
      </c>
      <c r="D53" s="66">
        <f>O28</f>
        <v/>
      </c>
      <c r="E53" s="67">
        <f>O42</f>
        <v/>
      </c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0" t="n"/>
    </row>
    <row r="54">
      <c r="B54" s="25" t="inlineStr">
        <is>
          <t>Tool Costs</t>
        </is>
      </c>
      <c r="C54" s="62">
        <f>O15</f>
        <v/>
      </c>
      <c r="D54" s="63">
        <f>O29</f>
        <v/>
      </c>
      <c r="E54" s="64">
        <f>O43</f>
        <v/>
      </c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</row>
    <row r="55">
      <c r="B55" s="10" t="inlineStr">
        <is>
          <t>Net Contribution</t>
        </is>
      </c>
      <c r="C55" s="68">
        <f>O16</f>
        <v/>
      </c>
      <c r="D55" s="69">
        <f>O30</f>
        <v/>
      </c>
      <c r="E55" s="70">
        <f>O44</f>
        <v/>
      </c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</row>
  </sheetData>
  <mergeCells count="6">
    <mergeCell ref="B47:O47"/>
    <mergeCell ref="B2:O2"/>
    <mergeCell ref="B33:O33"/>
    <mergeCell ref="B3:O3"/>
    <mergeCell ref="B5:O5"/>
    <mergeCell ref="B19:O1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58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28" customWidth="1" min="7" max="7"/>
  </cols>
  <sheetData>
    <row r="2" ht="20" customHeight="1">
      <c r="B2" s="1" t="inlineStr">
        <is>
          <t>Newport Wholesalers — Commercial SDR Model</t>
        </is>
      </c>
      <c r="C2" s="2" t="n"/>
      <c r="D2" s="2" t="n"/>
      <c r="E2" s="2" t="n"/>
      <c r="F2" s="2" t="n"/>
      <c r="G2" s="3" t="n"/>
    </row>
    <row r="3">
      <c r="B3" s="4" t="inlineStr">
        <is>
          <t>12-Month Projection | February 2026</t>
        </is>
      </c>
      <c r="C3" s="2" t="n"/>
      <c r="D3" s="2" t="n"/>
      <c r="E3" s="2" t="n"/>
      <c r="F3" s="2" t="n"/>
      <c r="G3" s="3" t="n"/>
    </row>
    <row r="5">
      <c r="B5" s="5" t="inlineStr">
        <is>
          <t>MARKET SIZING BY SEGMENT</t>
        </is>
      </c>
      <c r="C5" s="2" t="n"/>
      <c r="D5" s="2" t="n"/>
      <c r="E5" s="2" t="n"/>
      <c r="F5" s="2" t="n"/>
      <c r="G5" s="3" t="n"/>
    </row>
    <row r="6">
      <c r="B6" s="8" t="inlineStr">
        <is>
          <t>Segment</t>
        </is>
      </c>
      <c r="C6" s="8" t="inlineStr">
        <is>
          <t>Companies</t>
        </is>
      </c>
      <c r="D6" s="8" t="inlineStr">
        <is>
          <t>Reachable (Apollo)</t>
        </is>
      </c>
      <c r="E6" s="8" t="inlineStr">
        <is>
          <t>Avg Deal</t>
        </is>
      </c>
      <c r="F6" s="8" t="inlineStr">
        <is>
          <t>Est. TAM</t>
        </is>
      </c>
      <c r="G6" s="8" t="inlineStr">
        <is>
          <t>Notes</t>
        </is>
      </c>
    </row>
    <row r="7">
      <c r="B7" s="28" t="inlineStr">
        <is>
          <t>A: Enterprise Grocery</t>
        </is>
      </c>
      <c r="C7" s="36" t="n">
        <v>2000</v>
      </c>
      <c r="D7" s="36" t="n">
        <v>1300</v>
      </c>
      <c r="E7" s="48" t="n">
        <v>50000</v>
      </c>
      <c r="F7" s="48" t="n">
        <v>100000000</v>
      </c>
      <c r="G7" s="31" t="inlineStr">
        <is>
          <t>Largest deal sizes; centralized procurement</t>
        </is>
      </c>
    </row>
    <row r="8">
      <c r="B8" s="25" t="inlineStr">
        <is>
          <t>B: Manufacturers</t>
        </is>
      </c>
      <c r="C8" s="40" t="n">
        <v>3000</v>
      </c>
      <c r="D8" s="40" t="n">
        <v>1800</v>
      </c>
      <c r="E8" s="47" t="n">
        <v>25000</v>
      </c>
      <c r="F8" s="47" t="n">
        <v>75000000</v>
      </c>
      <c r="G8" s="27" t="inlineStr">
        <is>
          <t>Volume play; partner pipeline</t>
        </is>
      </c>
    </row>
    <row r="9">
      <c r="B9" s="28" t="inlineStr">
        <is>
          <t>C: Gov Buyers</t>
        </is>
      </c>
      <c r="C9" s="36" t="n">
        <v>500</v>
      </c>
      <c r="D9" s="36" t="n">
        <v>200</v>
      </c>
      <c r="E9" s="48" t="n">
        <v>15000</v>
      </c>
      <c r="F9" s="48" t="n">
        <v>7500000</v>
      </c>
      <c r="G9" s="31" t="inlineStr">
        <is>
          <t>Overlap with GovCon; Apollo coverage low</t>
        </is>
      </c>
    </row>
    <row r="10">
      <c r="B10" s="25" t="inlineStr">
        <is>
          <t>D: Corrections</t>
        </is>
      </c>
      <c r="C10" s="40" t="n">
        <v>200</v>
      </c>
      <c r="D10" s="40" t="n">
        <v>110</v>
      </c>
      <c r="E10" s="47" t="n">
        <v>30000</v>
      </c>
      <c r="F10" s="47" t="n">
        <v>6000000</v>
      </c>
      <c r="G10" s="27" t="inlineStr">
        <is>
          <t>Niche; high barriers but sticky contracts</t>
        </is>
      </c>
    </row>
    <row r="11">
      <c r="B11" s="28" t="inlineStr">
        <is>
          <t>E: Candy/Confectionery</t>
        </is>
      </c>
      <c r="C11" s="36" t="n">
        <v>1831</v>
      </c>
      <c r="D11" s="36" t="n">
        <v>1099</v>
      </c>
      <c r="E11" s="48" t="n">
        <v>20000</v>
      </c>
      <c r="F11" s="48" t="n">
        <v>36620000</v>
      </c>
      <c r="G11" s="31" t="inlineStr">
        <is>
          <t>NAICS 424450; Newport's specialty</t>
        </is>
      </c>
    </row>
    <row r="12">
      <c r="B12" s="10" t="inlineStr">
        <is>
          <t>TOTAL</t>
        </is>
      </c>
      <c r="C12" s="71">
        <f>SUM(C7:C11)</f>
        <v/>
      </c>
      <c r="D12" s="71">
        <f>SUM(D7:D11)</f>
        <v/>
      </c>
      <c r="E12" s="33" t="n"/>
      <c r="F12" s="32">
        <f>SUM(F7:F11)</f>
        <v/>
      </c>
      <c r="G12" s="33" t="n"/>
    </row>
    <row r="28">
      <c r="B28" s="5" t="inlineStr">
        <is>
          <t>CANDY WHOLESALE MARKET (NAICS 424450)</t>
        </is>
      </c>
      <c r="C28" s="2" t="n"/>
      <c r="D28" s="2" t="n"/>
      <c r="E28" s="2" t="n"/>
      <c r="F28" s="2" t="n"/>
      <c r="G28" s="3" t="n"/>
    </row>
    <row r="29">
      <c r="B29" s="7" t="inlineStr">
        <is>
          <t>Metric</t>
        </is>
      </c>
      <c r="C29" s="8" t="inlineStr">
        <is>
          <t>Value</t>
        </is>
      </c>
      <c r="D29" s="9" t="n"/>
      <c r="E29" s="9" t="n"/>
      <c r="F29" s="9" t="n"/>
      <c r="G29" s="8" t="inlineStr">
        <is>
          <t>Source</t>
        </is>
      </c>
    </row>
    <row r="30">
      <c r="B30" s="25" t="inlineStr">
        <is>
          <t>US Firms (NAICS 424450)</t>
        </is>
      </c>
      <c r="C30" s="72" t="inlineStr">
        <is>
          <t>1,831</t>
        </is>
      </c>
      <c r="D30" s="2" t="n"/>
      <c r="E30" s="2" t="n"/>
      <c r="F30" s="3" t="n"/>
      <c r="G30" s="27" t="inlineStr">
        <is>
          <t>US Census Bureau</t>
        </is>
      </c>
    </row>
    <row r="31">
      <c r="B31" s="28" t="inlineStr">
        <is>
          <t>US Establishments</t>
        </is>
      </c>
      <c r="C31" s="73" t="inlineStr">
        <is>
          <t>2,357</t>
        </is>
      </c>
      <c r="D31" s="2" t="n"/>
      <c r="E31" s="2" t="n"/>
      <c r="F31" s="3" t="n"/>
      <c r="G31" s="31" t="inlineStr">
        <is>
          <t>US Census Bureau</t>
        </is>
      </c>
    </row>
    <row r="32">
      <c r="B32" s="25" t="inlineStr">
        <is>
          <t>US Employees</t>
        </is>
      </c>
      <c r="C32" s="72" t="inlineStr">
        <is>
          <t>40,279</t>
        </is>
      </c>
      <c r="D32" s="2" t="n"/>
      <c r="E32" s="2" t="n"/>
      <c r="F32" s="3" t="n"/>
      <c r="G32" s="27" t="inlineStr">
        <is>
          <t>US Census Bureau</t>
        </is>
      </c>
    </row>
    <row r="33">
      <c r="B33" s="28" t="inlineStr">
        <is>
          <t>US Retail Confectionery Market</t>
        </is>
      </c>
      <c r="C33" s="73" t="inlineStr">
        <is>
          <t>$38B</t>
        </is>
      </c>
      <c r="D33" s="2" t="n"/>
      <c r="E33" s="2" t="n"/>
      <c r="F33" s="3" t="n"/>
      <c r="G33" s="31" t="inlineStr">
        <is>
          <t>Grand View Research</t>
        </is>
      </c>
    </row>
    <row r="34">
      <c r="B34" s="25" t="inlineStr">
        <is>
          <t>LATAM Confectionery Market</t>
        </is>
      </c>
      <c r="C34" s="72" t="inlineStr">
        <is>
          <t>$35-42B</t>
        </is>
      </c>
      <c r="D34" s="2" t="n"/>
      <c r="E34" s="2" t="n"/>
      <c r="F34" s="3" t="n"/>
      <c r="G34" s="27" t="inlineStr">
        <is>
          <t>IndexBox / Mordor Intelligence</t>
        </is>
      </c>
    </row>
    <row r="35">
      <c r="B35" s="28" t="inlineStr">
        <is>
          <t>NCA Member Retail Sales</t>
        </is>
      </c>
      <c r="C35" s="73" t="inlineStr">
        <is>
          <t>$54B</t>
        </is>
      </c>
      <c r="D35" s="2" t="n"/>
      <c r="E35" s="2" t="n"/>
      <c r="F35" s="3" t="n"/>
      <c r="G35" s="31" t="inlineStr">
        <is>
          <t>National Confectioners Assoc.</t>
        </is>
      </c>
    </row>
    <row r="36">
      <c r="B36" s="25" t="inlineStr">
        <is>
          <t>Key Trade Agreement</t>
        </is>
      </c>
      <c r="C36" s="72" t="inlineStr">
        <is>
          <t>USMCA: $0 tariff on MX candy</t>
        </is>
      </c>
      <c r="D36" s="2" t="n"/>
      <c r="E36" s="2" t="n"/>
      <c r="F36" s="3" t="n"/>
      <c r="G36" s="27" t="inlineStr">
        <is>
          <t>USDA FAS</t>
        </is>
      </c>
    </row>
    <row r="37">
      <c r="B37" s="28" t="inlineStr">
        <is>
          <t>CAFTA-DR</t>
        </is>
      </c>
      <c r="C37" s="73" t="inlineStr">
        <is>
          <t>Free/near-free on CA candy</t>
        </is>
      </c>
      <c r="D37" s="2" t="n"/>
      <c r="E37" s="2" t="n"/>
      <c r="F37" s="3" t="n"/>
      <c r="G37" s="31" t="inlineStr">
        <is>
          <t>USDA FAS</t>
        </is>
      </c>
    </row>
    <row r="39">
      <c r="B39" s="5" t="inlineStr">
        <is>
          <t>TOOL COMPARISON MATRIX</t>
        </is>
      </c>
      <c r="C39" s="2" t="n"/>
      <c r="D39" s="2" t="n"/>
      <c r="E39" s="2" t="n"/>
      <c r="F39" s="2" t="n"/>
      <c r="G39" s="3" t="n"/>
    </row>
    <row r="40">
      <c r="B40" s="7" t="inlineStr">
        <is>
          <t>Tool</t>
        </is>
      </c>
      <c r="C40" s="8" t="inlineStr">
        <is>
          <t>Purpose</t>
        </is>
      </c>
      <c r="D40" s="8" t="inlineStr">
        <is>
          <t>Monthly Cost</t>
        </is>
      </c>
      <c r="E40" s="8" t="inlineStr">
        <is>
          <t>Annual Cost</t>
        </is>
      </c>
      <c r="F40" s="8" t="inlineStr">
        <is>
          <t>Scenario</t>
        </is>
      </c>
      <c r="G40" s="8" t="inlineStr">
        <is>
          <t>Value Proposition</t>
        </is>
      </c>
    </row>
    <row r="41">
      <c r="B41" s="28" t="inlineStr">
        <is>
          <t>Apollo.io (Basic)</t>
        </is>
      </c>
      <c r="C41" s="37" t="inlineStr">
        <is>
          <t>Contact search &amp; enrichment</t>
        </is>
      </c>
      <c r="D41" s="74" t="inlineStr">
        <is>
          <t>$49</t>
        </is>
      </c>
      <c r="E41" s="74" t="inlineStr">
        <is>
          <t>$588</t>
        </is>
      </c>
      <c r="F41" s="43" t="inlineStr">
        <is>
          <t>Moderate</t>
        </is>
      </c>
      <c r="G41" s="31" t="inlineStr">
        <is>
          <t>Unlimited search; 900 credits/mo for email reveals</t>
        </is>
      </c>
    </row>
    <row r="42">
      <c r="B42" s="25" t="inlineStr">
        <is>
          <t>Apollo.io (Pro)</t>
        </is>
      </c>
      <c r="C42" s="41" t="inlineStr">
        <is>
          <t>Advanced enrichment + intent</t>
        </is>
      </c>
      <c r="D42" s="75" t="inlineStr">
        <is>
          <t>$119</t>
        </is>
      </c>
      <c r="E42" s="75" t="inlineStr">
        <is>
          <t>$1,428</t>
        </is>
      </c>
      <c r="F42" s="44" t="inlineStr">
        <is>
          <t>Aggressive</t>
        </is>
      </c>
      <c r="G42" s="27" t="inlineStr">
        <is>
          <t>Buyer intent signals, advanced filters, API access</t>
        </is>
      </c>
    </row>
    <row r="43">
      <c r="B43" s="28" t="inlineStr">
        <is>
          <t>Instantly (Growth)</t>
        </is>
      </c>
      <c r="C43" s="37" t="inlineStr">
        <is>
          <t>Email automation &amp; warmup</t>
        </is>
      </c>
      <c r="D43" s="74" t="inlineStr">
        <is>
          <t>$37</t>
        </is>
      </c>
      <c r="E43" s="74" t="inlineStr">
        <is>
          <t>$444</t>
        </is>
      </c>
      <c r="F43" s="43" t="inlineStr">
        <is>
          <t>Moderate</t>
        </is>
      </c>
      <c r="G43" s="31" t="inlineStr">
        <is>
          <t>1,000 active contacts; unlimited emails; warmup</t>
        </is>
      </c>
    </row>
    <row r="44">
      <c r="B44" s="25" t="inlineStr">
        <is>
          <t>Instantly (Hypergrowth)</t>
        </is>
      </c>
      <c r="C44" s="41" t="inlineStr">
        <is>
          <t>Multi-account email</t>
        </is>
      </c>
      <c r="D44" s="75" t="inlineStr">
        <is>
          <t>$97</t>
        </is>
      </c>
      <c r="E44" s="75" t="inlineStr">
        <is>
          <t>$1,164</t>
        </is>
      </c>
      <c r="F44" s="44" t="inlineStr">
        <is>
          <t>Aggressive</t>
        </is>
      </c>
      <c r="G44" s="27" t="inlineStr">
        <is>
          <t>25,000 contacts; 25 email accounts; A/B testing</t>
        </is>
      </c>
    </row>
    <row r="45">
      <c r="B45" s="28" t="inlineStr">
        <is>
          <t>Clay</t>
        </is>
      </c>
      <c r="C45" s="37" t="inlineStr">
        <is>
          <t>Data enrichment workflows</t>
        </is>
      </c>
      <c r="D45" s="74" t="inlineStr">
        <is>
          <t>$390</t>
        </is>
      </c>
      <c r="E45" s="74" t="inlineStr">
        <is>
          <t>$4,680</t>
        </is>
      </c>
      <c r="F45" s="43" t="inlineStr">
        <is>
          <t>Aggressive</t>
        </is>
      </c>
      <c r="G45" s="31" t="inlineStr">
        <is>
          <t>Waterfall enrichment; 75+ data providers</t>
        </is>
      </c>
    </row>
    <row r="46">
      <c r="B46" s="25" t="inlineStr">
        <is>
          <t>Twilio SMS</t>
        </is>
      </c>
      <c r="C46" s="41" t="inlineStr">
        <is>
          <t>SMS follow-up</t>
        </is>
      </c>
      <c r="D46" s="75" t="inlineStr">
        <is>
          <t>~$50</t>
        </is>
      </c>
      <c r="E46" s="75" t="inlineStr">
        <is>
          <t>~$600</t>
        </is>
      </c>
      <c r="F46" s="44" t="inlineStr">
        <is>
          <t>Aggressive</t>
        </is>
      </c>
      <c r="G46" s="27" t="inlineStr">
        <is>
          <t>Multi-channel touchpoint; high open rate</t>
        </is>
      </c>
    </row>
    <row r="47">
      <c r="B47" s="28" t="inlineStr">
        <is>
          <t>Retell AI Voice</t>
        </is>
      </c>
      <c r="C47" s="37" t="inlineStr">
        <is>
          <t>AI voice outreach</t>
        </is>
      </c>
      <c r="D47" s="74" t="inlineStr">
        <is>
          <t>~$100</t>
        </is>
      </c>
      <c r="E47" s="74" t="inlineStr">
        <is>
          <t>~$1,200</t>
        </is>
      </c>
      <c r="F47" s="43" t="inlineStr">
        <is>
          <t>Aggressive</t>
        </is>
      </c>
      <c r="G47" s="31" t="inlineStr">
        <is>
          <t>AI voice agent for meeting scheduling</t>
        </is>
      </c>
    </row>
    <row r="49">
      <c r="B49" s="5" t="inlineStr">
        <is>
          <t>APOLLO COVERAGE BY REGION</t>
        </is>
      </c>
      <c r="C49" s="2" t="n"/>
      <c r="D49" s="2" t="n"/>
      <c r="E49" s="2" t="n"/>
      <c r="F49" s="2" t="n"/>
      <c r="G49" s="3" t="n"/>
    </row>
    <row r="50">
      <c r="B50" s="7" t="inlineStr">
        <is>
          <t>Region</t>
        </is>
      </c>
      <c r="C50" s="8" t="inlineStr">
        <is>
          <t>Est. Coverage</t>
        </is>
      </c>
      <c r="D50" s="9" t="n"/>
      <c r="E50" s="9" t="n"/>
      <c r="F50" s="9" t="n"/>
      <c r="G50" s="8" t="inlineStr">
        <is>
          <t>Notes</t>
        </is>
      </c>
    </row>
    <row r="51">
      <c r="B51" s="28" t="inlineStr">
        <is>
          <t>United States</t>
        </is>
      </c>
      <c r="C51" s="73" t="inlineStr">
        <is>
          <t>60-70%</t>
        </is>
      </c>
      <c r="D51" s="2" t="n"/>
      <c r="E51" s="2" t="n"/>
      <c r="F51" s="3" t="n"/>
      <c r="G51" s="31" t="inlineStr">
        <is>
          <t>Strong coverage; major distributors well-indexed</t>
        </is>
      </c>
    </row>
    <row r="52">
      <c r="B52" s="25" t="inlineStr">
        <is>
          <t>Mexico</t>
        </is>
      </c>
      <c r="C52" s="72" t="inlineStr">
        <is>
          <t>30-50%</t>
        </is>
      </c>
      <c r="D52" s="2" t="n"/>
      <c r="E52" s="2" t="n"/>
      <c r="F52" s="3" t="n"/>
      <c r="G52" s="27" t="inlineStr">
        <is>
          <t>Decent for larger companies; supplement with SIEM registry</t>
        </is>
      </c>
    </row>
    <row r="53">
      <c r="B53" s="28" t="inlineStr">
        <is>
          <t>Central America</t>
        </is>
      </c>
      <c r="C53" s="73" t="inlineStr">
        <is>
          <t>10-25%</t>
        </is>
      </c>
      <c r="D53" s="2" t="n"/>
      <c r="E53" s="2" t="n"/>
      <c r="F53" s="3" t="n"/>
      <c r="G53" s="31" t="inlineStr">
        <is>
          <t>Smaller economies; supplement with trade directories</t>
        </is>
      </c>
    </row>
    <row r="54">
      <c r="B54" s="25" t="inlineStr">
        <is>
          <t>South America (BR/CO/AR)</t>
        </is>
      </c>
      <c r="C54" s="72" t="inlineStr">
        <is>
          <t>25-40%</t>
        </is>
      </c>
      <c r="D54" s="2" t="n"/>
      <c r="E54" s="2" t="n"/>
      <c r="F54" s="3" t="n"/>
      <c r="G54" s="27" t="inlineStr">
        <is>
          <t>Larger markets have better coverage</t>
        </is>
      </c>
    </row>
    <row r="55">
      <c r="B55" s="28" t="inlineStr">
        <is>
          <t>Caribbean</t>
        </is>
      </c>
      <c r="C55" s="73" t="inlineStr">
        <is>
          <t>5-15%</t>
        </is>
      </c>
      <c r="D55" s="2" t="n"/>
      <c r="E55" s="2" t="n"/>
      <c r="F55" s="3" t="n"/>
      <c r="G55" s="31" t="inlineStr">
        <is>
          <t>Small market; many informal businesses</t>
        </is>
      </c>
    </row>
    <row r="56">
      <c r="B56" s="25" t="inlineStr">
        <is>
          <t>UK / EU</t>
        </is>
      </c>
      <c r="C56" s="72" t="inlineStr">
        <is>
          <t>50-65%</t>
        </is>
      </c>
      <c r="D56" s="2" t="n"/>
      <c r="E56" s="2" t="n"/>
      <c r="F56" s="3" t="n"/>
      <c r="G56" s="27" t="inlineStr">
        <is>
          <t>Good for enterprise; varies by country</t>
        </is>
      </c>
    </row>
    <row r="58">
      <c r="B58" s="6" t="inlineStr">
        <is>
          <t>Sources: US Census Bureau (NAICS 424450), Grand View Research, Mordor Intelligence, IndexBox, USDA FAS, NCA, Apollo.io coverage estimates, specs/09-INTEGRATIONS.md. Feb 2026.</t>
        </is>
      </c>
      <c r="C58" s="2" t="n"/>
      <c r="D58" s="2" t="n"/>
      <c r="E58" s="2" t="n"/>
      <c r="F58" s="2" t="n"/>
      <c r="G58" s="3" t="n"/>
    </row>
  </sheetData>
  <mergeCells count="21">
    <mergeCell ref="B2:G2"/>
    <mergeCell ref="C52:F52"/>
    <mergeCell ref="C32:F32"/>
    <mergeCell ref="C37:F37"/>
    <mergeCell ref="C53:F53"/>
    <mergeCell ref="B28:G28"/>
    <mergeCell ref="C34:F34"/>
    <mergeCell ref="C30:F30"/>
    <mergeCell ref="B49:G49"/>
    <mergeCell ref="C33:F33"/>
    <mergeCell ref="B5:G5"/>
    <mergeCell ref="C35:F35"/>
    <mergeCell ref="C54:F54"/>
    <mergeCell ref="C55:F55"/>
    <mergeCell ref="B3:G3"/>
    <mergeCell ref="C31:F31"/>
    <mergeCell ref="C56:F56"/>
    <mergeCell ref="B58:G58"/>
    <mergeCell ref="C51:F51"/>
    <mergeCell ref="C36:F36"/>
    <mergeCell ref="B39:G3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44" customWidth="1" min="3" max="3"/>
    <col width="32" customWidth="1" min="4" max="4"/>
    <col width="32" customWidth="1" min="5" max="5"/>
  </cols>
  <sheetData>
    <row r="2" ht="20" customHeight="1">
      <c r="B2" s="1" t="inlineStr">
        <is>
          <t>Newport Wholesalers — Commercial SDR Model</t>
        </is>
      </c>
      <c r="C2" s="2" t="n"/>
      <c r="D2" s="2" t="n"/>
      <c r="E2" s="3" t="n"/>
    </row>
    <row r="3">
      <c r="B3" s="4" t="inlineStr">
        <is>
          <t>12-Month Projection | February 2026</t>
        </is>
      </c>
      <c r="C3" s="2" t="n"/>
      <c r="D3" s="2" t="n"/>
      <c r="E3" s="3" t="n"/>
    </row>
    <row r="5">
      <c r="B5" s="5" t="inlineStr">
        <is>
          <t>CRITICAL DECISIONS THAT CALIBRATE THE MODEL</t>
        </is>
      </c>
      <c r="C5" s="2" t="n"/>
      <c r="D5" s="2" t="n"/>
      <c r="E5" s="3" t="n"/>
    </row>
    <row r="6">
      <c r="B6" s="8" t="inlineStr">
        <is>
          <t>Priority</t>
        </is>
      </c>
      <c r="C6" s="8" t="inlineStr">
        <is>
          <t>Question</t>
        </is>
      </c>
      <c r="D6" s="8" t="inlineStr">
        <is>
          <t>If Yes</t>
        </is>
      </c>
      <c r="E6" s="8" t="inlineStr">
        <is>
          <t>If No</t>
        </is>
      </c>
    </row>
    <row r="7" ht="40" customHeight="1">
      <c r="B7" s="76" t="inlineStr">
        <is>
          <t>1 HIGHEST</t>
        </is>
      </c>
      <c r="C7" s="37" t="inlineStr">
        <is>
          <t>What are actual deal sizes by customer type?</t>
        </is>
      </c>
      <c r="D7" s="77" t="inlineStr">
        <is>
          <t>Calibrates entire model. Current values are placeholders.</t>
        </is>
      </c>
      <c r="E7" s="78" t="inlineStr">
        <is>
          <t>Model uses estimates; directionally right but imprecise</t>
        </is>
      </c>
    </row>
    <row r="8" ht="40" customHeight="1">
      <c r="B8" s="79" t="inlineStr">
        <is>
          <t>2 HIGHEST</t>
        </is>
      </c>
      <c r="C8" s="41" t="inlineStr">
        <is>
          <t>What is current gross margin on wholesale deals?</t>
        </is>
      </c>
      <c r="D8" s="80" t="inlineStr">
        <is>
          <t>Determines profitability at every scenario level.</t>
        </is>
      </c>
      <c r="E8" s="81" t="inlineStr">
        <is>
          <t>22% assumption may over- or under-state returns</t>
        </is>
      </c>
    </row>
    <row r="9" ht="40" customHeight="1">
      <c r="B9" s="82" t="inlineStr">
        <is>
          <t>3 HIGH</t>
        </is>
      </c>
      <c r="C9" s="37" t="inlineStr">
        <is>
          <t>How many sales reps will handle inbound meetings?</t>
        </is>
      </c>
      <c r="D9" s="77" t="inlineStr">
        <is>
          <t>Capacity constraint. More reps = more throughput.</t>
        </is>
      </c>
      <c r="E9" s="78" t="inlineStr">
        <is>
          <t>2 reps cap at 40 meetings/mo; may bottleneck Aggressive</t>
        </is>
      </c>
    </row>
    <row r="10" ht="40" customHeight="1">
      <c r="B10" s="24" t="inlineStr">
        <is>
          <t>4 HIGH</t>
        </is>
      </c>
      <c r="C10" s="41" t="inlineStr">
        <is>
          <t>Which segments to prioritize first?</t>
        </is>
      </c>
      <c r="D10" s="80" t="inlineStr">
        <is>
          <t>Focus resources on 1-2 segments for faster traction.</t>
        </is>
      </c>
      <c r="E10" s="81" t="inlineStr">
        <is>
          <t>Spreading across all 5 dilutes effort and slows results</t>
        </is>
      </c>
    </row>
    <row r="11" ht="40" customHeight="1">
      <c r="B11" s="82" t="inlineStr">
        <is>
          <t>5 HIGH</t>
        </is>
      </c>
      <c r="C11" s="37" t="inlineStr">
        <is>
          <t>Willing to invest in Instantly email automation?</t>
        </is>
      </c>
      <c r="D11" s="77" t="inlineStr">
        <is>
          <t>Unlocks Moderate scenario (450/wk vs 50/wk).</t>
        </is>
      </c>
      <c r="E11" s="78" t="inlineStr">
        <is>
          <t>Free scenario only; manual LinkedIn outreach</t>
        </is>
      </c>
    </row>
    <row r="12" ht="40" customHeight="1">
      <c r="B12" s="23" t="inlineStr">
        <is>
          <t>6 MEDIUM</t>
        </is>
      </c>
      <c r="C12" s="41" t="inlineStr">
        <is>
          <t>Current close rate on warm introductions?</t>
        </is>
      </c>
      <c r="D12" s="80" t="inlineStr">
        <is>
          <t>Baseline calibration. Cold outreach typically 40-60% lower.</t>
        </is>
      </c>
      <c r="E12" s="81" t="inlineStr">
        <is>
          <t>We use 18% default for cold; adjust if warm rate known</t>
        </is>
      </c>
    </row>
    <row r="13" ht="40" customHeight="1">
      <c r="B13" s="83" t="inlineStr">
        <is>
          <t>7 MEDIUM</t>
        </is>
      </c>
      <c r="C13" s="37" t="inlineStr">
        <is>
          <t>Interest in LATAM candy import/export?</t>
        </is>
      </c>
      <c r="D13" s="77" t="inlineStr">
        <is>
          <t>Expands Seg E scope. USMCA = $0 tariff from Mexico.</t>
        </is>
      </c>
      <c r="E13" s="78" t="inlineStr">
        <is>
          <t>Focus US-only Seg E; still 1,831 firms to target</t>
        </is>
      </c>
    </row>
    <row r="14" ht="40" customHeight="1">
      <c r="B14" s="23" t="inlineStr">
        <is>
          <t>8 MEDIUM</t>
        </is>
      </c>
      <c r="C14" s="41" t="inlineStr">
        <is>
          <t>Existing CRM or sales tracking system?</t>
        </is>
      </c>
      <c r="D14" s="80" t="inlineStr">
        <is>
          <t>Integrate SDR pipeline into existing workflow.</t>
        </is>
      </c>
      <c r="E14" s="81" t="inlineStr">
        <is>
          <t>Recommend HubSpot Free CRM or Google Sheets tracker</t>
        </is>
      </c>
    </row>
    <row r="15" ht="40" customHeight="1">
      <c r="B15" s="84" t="inlineStr">
        <is>
          <t>9 INFO</t>
        </is>
      </c>
      <c r="C15" s="37" t="inlineStr">
        <is>
          <t>What does a typical sales cycle look like today?</t>
        </is>
      </c>
      <c r="D15" s="77" t="inlineStr">
        <is>
          <t>Calibrates 45-day default. Shorter = faster revenue.</t>
        </is>
      </c>
      <c r="E15" s="78" t="inlineStr">
        <is>
          <t>We keep 45-day assumption; conservative but standard</t>
        </is>
      </c>
    </row>
    <row r="16" ht="40" customHeight="1">
      <c r="B16" s="85" t="inlineStr">
        <is>
          <t>10 INFO</t>
        </is>
      </c>
      <c r="C16" s="41" t="inlineStr">
        <is>
          <t>Any existing outbound prospecting?</t>
        </is>
      </c>
      <c r="D16" s="80" t="inlineStr">
        <is>
          <t>Baseline comparison. SDR adds to existing effort.</t>
        </is>
      </c>
      <c r="E16" s="81" t="inlineStr">
        <is>
          <t>Greenfield — all SDR revenue is incremental</t>
        </is>
      </c>
    </row>
  </sheetData>
  <mergeCells count="3">
    <mergeCell ref="B5:E5"/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2026-02-27T21:37:51Z</dcterms:created>
  <dcterms:modified xmlns:dcterms="http://purl.org/dc/terms/" xmlns:xsi="http://www.w3.org/2001/XMLSchema-instance" xsi:type="dcterms:W3CDTF">2026-02-27T21:37:51Z</dcterms:modified>
</cp:coreProperties>
</file>