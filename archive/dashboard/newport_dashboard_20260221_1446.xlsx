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Opportunities Pipeline" sheetId="2" state="visible" r:id="rId2"/>
    <sheet xmlns:r="http://schemas.openxmlformats.org/officeDocument/2006/relationships" name="Expiring Contracts" sheetId="3" state="visible" r:id="rId3"/>
    <sheet xmlns:r="http://schemas.openxmlformats.org/officeDocument/2006/relationships" name="Sources Sought Tracker" sheetId="4" state="visible" r:id="rId4"/>
    <sheet xmlns:r="http://schemas.openxmlformats.org/officeDocument/2006/relationships" name="Decision Makers" sheetId="5" state="visible" r:id="rId5"/>
    <sheet xmlns:r="http://schemas.openxmlformats.org/officeDocument/2006/relationships" name="Past Performance" sheetId="6" state="visible" r:id="rId6"/>
    <sheet xmlns:r="http://schemas.openxmlformats.org/officeDocument/2006/relationships" name="Scoring Model" sheetId="7" state="visible" r:id="rId7"/>
    <sheet xmlns:r="http://schemas.openxmlformats.org/officeDocument/2006/relationships" name="Events Calendar" sheetId="8" state="visible" r:id="rId8"/>
  </sheets>
  <definedNames>
    <definedName name="_xlnm._FilterDatabase" localSheetId="0" hidden="1">'Summary Dashboard'!$A$10:$E$10</definedName>
    <definedName name="_xlnm._FilterDatabase" localSheetId="1" hidden="1">'Opportunities Pipeline'!$A$1:$P$1</definedName>
    <definedName name="_xlnm._FilterDatabase" localSheetId="2" hidden="1">'Expiring Contracts'!$A$1:$M$1</definedName>
    <definedName name="_xlnm._FilterDatabase" localSheetId="3" hidden="1">'Sources Sought Tracker'!$A$1:$J$1</definedName>
    <definedName name="_xlnm._FilterDatabase" localSheetId="4" hidden="1">'Decision Makers'!$A$1:$P$1</definedName>
    <definedName name="_xlnm._FilterDatabase" localSheetId="5" hidden="1">'Past Performance'!$A$1:$L$1</definedName>
    <definedName name="_xlnm._FilterDatabase" localSheetId="6" hidden="1">'Scoring Model'!$A$4:$E$4</definedName>
    <definedName name="_xlnm._FilterDatabase" localSheetId="7" hidden="1">'Events Calendar'!$A$1:$I$1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&quot;%&quot;"/>
    <numFmt numFmtId="166" formatCode="yyyy-mm-dd h:mm:ss"/>
    <numFmt numFmtId="167" formatCode="MM/DD/YYYY"/>
  </numFmts>
  <fonts count="12">
    <font>
      <name val="Calibri"/>
      <family val="2"/>
      <color theme="1"/>
      <sz val="11"/>
      <scheme val="minor"/>
    </font>
    <font>
      <name val="Calibri"/>
      <b val="1"/>
      <color rgb="001B2A4A"/>
      <sz val="16"/>
    </font>
    <font>
      <name val="Calibri"/>
      <color rgb="00666666"/>
      <sz val="10"/>
    </font>
    <font>
      <name val="Calibri"/>
      <b val="1"/>
      <color rgb="001B2A4A"/>
      <sz val="13"/>
    </font>
    <font>
      <name val="Calibri"/>
      <b val="1"/>
      <color rgb="001B2A4A"/>
      <sz val="2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CC0000"/>
      <sz val="20"/>
    </font>
    <font>
      <name val="Calibri"/>
      <b val="1"/>
      <sz val="10"/>
    </font>
    <font>
      <name val="Calibri"/>
      <b val="1"/>
      <color rgb="001B2A4A"/>
      <sz val="12"/>
    </font>
    <font>
      <name val="Calibri"/>
      <b val="1"/>
      <color rgb="001B2A4A"/>
      <sz val="14"/>
    </font>
    <font>
      <name val="Calibri"/>
      <b val="1"/>
      <color rgb="001B2A4A"/>
      <sz val="11"/>
    </font>
  </fonts>
  <fills count="8">
    <fill>
      <patternFill/>
    </fill>
    <fill>
      <patternFill patternType="gray125"/>
    </fill>
    <fill>
      <patternFill patternType="solid">
        <fgColor rgb="00FFF8E7"/>
        <bgColor rgb="00FFF8E7"/>
      </patternFill>
    </fill>
    <fill>
      <patternFill patternType="solid">
        <fgColor rgb="001B2A4A"/>
        <bgColor rgb="001B2A4A"/>
      </patternFill>
    </fill>
    <fill>
      <patternFill patternType="solid">
        <fgColor rgb="00F2F2F2"/>
        <bgColor rgb="00F2F2F2"/>
      </patternFill>
    </fill>
    <fill>
      <patternFill patternType="solid">
        <fgColor rgb="00FFCCCC"/>
        <bgColor rgb="00FFCCCC"/>
      </patternFill>
    </fill>
    <fill>
      <patternFill patternType="solid">
        <fgColor rgb="00FFFFCC"/>
        <bgColor rgb="00FFFFCC"/>
      </patternFill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165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164" fontId="6" fillId="4" borderId="1" applyAlignment="1" pivotButton="0" quotePrefix="0" xfId="0">
      <alignment vertical="top" wrapText="1"/>
    </xf>
    <xf numFmtId="165" fontId="6" fillId="4" borderId="1" applyAlignment="1" pivotButton="0" quotePrefix="0" xfId="0">
      <alignment vertical="top" wrapText="1"/>
    </xf>
    <xf numFmtId="0" fontId="7" fillId="0" borderId="0" applyAlignment="1" pivotButton="0" quotePrefix="0" xfId="0">
      <alignment horizontal="center"/>
    </xf>
    <xf numFmtId="0" fontId="6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7" fontId="6" fillId="4" borderId="1" applyAlignment="1" pivotButton="0" quotePrefix="0" xfId="0">
      <alignment vertical="top" wrapText="1"/>
    </xf>
    <xf numFmtId="167" fontId="6" fillId="0" borderId="1" applyAlignment="1" pivotButton="0" quotePrefix="0" xfId="0">
      <alignment vertical="top" wrapText="1"/>
    </xf>
    <xf numFmtId="0" fontId="10" fillId="0" borderId="0" pivotButton="0" quotePrefix="0" xfId="0"/>
    <xf numFmtId="0" fontId="11" fillId="0" borderId="0" pivotButton="0" quotePrefix="0" xfId="0"/>
    <xf numFmtId="0" fontId="8" fillId="5" borderId="0" pivotButton="0" quotePrefix="0" xfId="0"/>
    <xf numFmtId="0" fontId="8" fillId="6" borderId="0" pivotButton="0" quotePrefix="0" xfId="0"/>
    <xf numFmtId="0" fontId="8" fillId="7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CCCC"/>
          <bgColor rgb="00FFCCCC"/>
        </patternFill>
      </fill>
    </dxf>
    <dxf>
      <fill>
        <patternFill patternType="solid">
          <fgColor rgb="00FFFFCC"/>
          <bgColor rgb="00FFFFCC"/>
        </patternFill>
      </fill>
    </dxf>
    <dxf>
      <fill>
        <patternFill patternType="solid">
          <fgColor rgb="00CCFFCC"/>
          <bgColor rgb="00CCFF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4A843"/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</cols>
  <sheetData>
    <row r="1">
      <c r="A1" s="1" t="inlineStr">
        <is>
          <t>Newport Wholesalers — Government Contract Intelligence Dashboard</t>
        </is>
      </c>
    </row>
    <row r="2">
      <c r="A2" s="2" t="inlineStr">
        <is>
          <t>Generated: February 21, 2026</t>
        </is>
      </c>
    </row>
    <row r="4">
      <c r="A4" s="3" t="inlineStr">
        <is>
          <t>MARKET OPPORTUNITY</t>
        </is>
      </c>
    </row>
    <row r="6">
      <c r="A6" s="4" t="inlineStr">
        <is>
          <t>$35-50B+</t>
        </is>
      </c>
      <c r="C6" s="4" t="inlineStr">
        <is>
          <t>$1.47B</t>
        </is>
      </c>
      <c r="E6" s="4" t="inlineStr">
        <is>
          <t>$500M-$2B</t>
        </is>
      </c>
      <c r="G6" s="4" t="inlineStr">
        <is>
          <t>15%</t>
        </is>
      </c>
    </row>
    <row r="7">
      <c r="A7" s="5" t="inlineStr">
        <is>
          <t>Total US Gov Food Market (Annual)</t>
        </is>
      </c>
      <c r="C7" s="5" t="inlineStr">
        <is>
          <t>Federal Food Spend FY2025 (Tracked)</t>
        </is>
      </c>
      <c r="E7" s="5" t="inlineStr">
        <is>
          <t>FL Serviceable Market (Annual)</t>
        </is>
      </c>
      <c r="G7" s="5" t="inlineStr">
        <is>
          <t>Federal Spend Growth (2-Year)</t>
        </is>
      </c>
    </row>
    <row r="9">
      <c r="A9" s="3" t="inlineStr">
        <is>
          <t>FEDERAL FOOD SPENDING BY AGENCY (FY2025)</t>
        </is>
      </c>
    </row>
    <row r="10" ht="35" customHeight="1">
      <c r="A10" s="6" t="inlineStr">
        <is>
          <t>Agency</t>
        </is>
      </c>
      <c r="B10" s="6" t="inlineStr">
        <is>
          <t>FY2023</t>
        </is>
      </c>
      <c r="C10" s="6" t="inlineStr">
        <is>
          <t>FY2024</t>
        </is>
      </c>
      <c r="D10" s="6" t="inlineStr">
        <is>
          <t>FY2025</t>
        </is>
      </c>
      <c r="E10" s="6" t="inlineStr">
        <is>
          <t>2-Year Growth</t>
        </is>
      </c>
    </row>
    <row r="11">
      <c r="A11" s="7" t="inlineStr">
        <is>
          <t>Department of Defense</t>
        </is>
      </c>
      <c r="B11" s="8" t="n">
        <v>1085033879.9</v>
      </c>
      <c r="C11" s="8" t="n">
        <v>1105371601.54</v>
      </c>
      <c r="D11" s="8" t="n">
        <v>1193217504.98</v>
      </c>
      <c r="E11" s="9" t="n">
        <v>9.970529684286955</v>
      </c>
    </row>
    <row r="12">
      <c r="A12" s="10" t="inlineStr">
        <is>
          <t>Department of Agriculture</t>
        </is>
      </c>
      <c r="B12" s="11" t="n">
        <v>66026700.18</v>
      </c>
      <c r="C12" s="11" t="n">
        <v>81988223.29000001</v>
      </c>
      <c r="D12" s="11" t="n">
        <v>117089690.61</v>
      </c>
      <c r="E12" s="12" t="n">
        <v>77.33688082365713</v>
      </c>
    </row>
    <row r="13">
      <c r="A13" s="7" t="inlineStr">
        <is>
          <t>Department of Homeland Security</t>
        </is>
      </c>
      <c r="B13" s="8" t="n">
        <v>73179075.44</v>
      </c>
      <c r="C13" s="8" t="n">
        <v>79876737.73</v>
      </c>
      <c r="D13" s="8" t="n">
        <v>90170437.17</v>
      </c>
      <c r="E13" s="9" t="n">
        <v>23.21888002524892</v>
      </c>
    </row>
    <row r="14">
      <c r="A14" s="10" t="inlineStr">
        <is>
          <t>Department of Justice</t>
        </is>
      </c>
      <c r="B14" s="11" t="n">
        <v>16568594.49</v>
      </c>
      <c r="C14" s="11" t="n">
        <v>15887862.64</v>
      </c>
      <c r="D14" s="11" t="n">
        <v>19742994.45</v>
      </c>
      <c r="E14" s="12" t="n">
        <v>19.15913846473769</v>
      </c>
    </row>
    <row r="15">
      <c r="A15" s="7" t="inlineStr">
        <is>
          <t>Department of State</t>
        </is>
      </c>
      <c r="B15" s="8" t="n">
        <v>7035659.78</v>
      </c>
      <c r="C15" s="8" t="n">
        <v>7034532.02</v>
      </c>
      <c r="D15" s="8" t="n">
        <v>12354730.48</v>
      </c>
      <c r="E15" s="9" t="n">
        <v>75.60159055900226</v>
      </c>
    </row>
    <row r="16">
      <c r="A16" s="10" t="inlineStr">
        <is>
          <t>Department of the Treasury</t>
        </is>
      </c>
      <c r="B16" s="11" t="n">
        <v>8186220.91</v>
      </c>
      <c r="C16" s="11" t="n">
        <v>7917739.22</v>
      </c>
      <c r="D16" s="11" t="n">
        <v>10071551.88</v>
      </c>
      <c r="E16" s="12" t="n">
        <v>23.030541085166</v>
      </c>
    </row>
    <row r="17">
      <c r="A17" s="7" t="inlineStr">
        <is>
          <t>Department of Veterans Affairs</t>
        </is>
      </c>
      <c r="B17" s="8" t="n">
        <v>9193022.380000001</v>
      </c>
      <c r="C17" s="8" t="n">
        <v>8013430.8</v>
      </c>
      <c r="D17" s="8" t="n">
        <v>9044672.52</v>
      </c>
      <c r="E17" s="9" t="n">
        <v>-1.613722384955196</v>
      </c>
    </row>
    <row r="18">
      <c r="A18" s="10" t="inlineStr">
        <is>
          <t>Department of Transportation</t>
        </is>
      </c>
      <c r="B18" s="11" t="n">
        <v>6040275.41</v>
      </c>
      <c r="C18" s="11" t="n">
        <v>8112313.91</v>
      </c>
      <c r="D18" s="11" t="n">
        <v>6083903.54</v>
      </c>
      <c r="E18" s="12" t="n">
        <v>0.7222870984950669</v>
      </c>
    </row>
    <row r="21">
      <c r="A21" s="3" t="inlineStr">
        <is>
          <t>WHY NOW — THE FRAUD CRISIS CREATES OPPORTUNITY</t>
        </is>
      </c>
    </row>
    <row r="23">
      <c r="A23" s="13" t="inlineStr">
        <is>
          <t>$6.8B</t>
        </is>
      </c>
      <c r="C23" s="13" t="inlineStr">
        <is>
          <t>1,091</t>
        </is>
      </c>
      <c r="E23" s="13" t="inlineStr">
        <is>
          <t>$250M+</t>
        </is>
      </c>
      <c r="G23" s="13" t="inlineStr">
        <is>
          <t>10,000+</t>
        </is>
      </c>
    </row>
    <row r="24">
      <c r="A24" s="5" t="inlineStr">
        <is>
          <t>FCA Recoveries FY2025 (Record)</t>
        </is>
      </c>
      <c r="C24" s="5" t="inlineStr">
        <is>
          <t>8(a) Firms Suspended (25%)</t>
        </is>
      </c>
      <c r="E24" s="5" t="inlineStr">
        <is>
          <t>Feeding Our Future Fraud</t>
        </is>
      </c>
      <c r="G24" s="5" t="inlineStr">
        <is>
          <t>DOGE Contracts Terminated</t>
        </is>
      </c>
    </row>
    <row r="26">
      <c r="A26" s="3" t="inlineStr">
        <is>
          <t>NEWPORT'S COMPETITIVE EDGE</t>
        </is>
      </c>
    </row>
    <row r="27">
      <c r="A27" s="14" t="inlineStr">
        <is>
          <t xml:space="preserve">  25+ years of continuous Florida operations — provable, auditable, real</t>
        </is>
      </c>
    </row>
    <row r="28">
      <c r="A28" s="14" t="inlineStr">
        <is>
          <t xml:space="preserve">  American-owned, American employees, American taxes</t>
        </is>
      </c>
    </row>
    <row r="29">
      <c r="A29" s="14" t="inlineStr">
        <is>
          <t xml:space="preserve">  Real infrastructure: warehouses, trucks, cold chain</t>
        </is>
      </c>
    </row>
    <row r="30">
      <c r="A30" s="14" t="inlineStr">
        <is>
          <t xml:space="preserve">  Small Business qualification under NAICS 424410 ($200M threshold) — locks out Sysco, US Foods, Aramark</t>
        </is>
      </c>
    </row>
    <row r="31">
      <c r="A31" s="14" t="inlineStr">
        <is>
          <t xml:space="preserve">  Florida home state advantage: local preference scoring on FL contracts</t>
        </is>
      </c>
    </row>
    <row r="32">
      <c r="A32" s="14" t="inlineStr">
        <is>
          <t xml:space="preserve">  FEMA disaster staging: FL warehouse + hurricane season = sole-source opportunity</t>
        </is>
      </c>
    </row>
    <row r="35">
      <c r="A35" s="3" t="inlineStr">
        <is>
          <t>PIPELINE SNAPSHOT</t>
        </is>
      </c>
    </row>
    <row r="36">
      <c r="A36" s="15" t="inlineStr">
        <is>
          <t>Active Opportunities</t>
        </is>
      </c>
      <c r="B36" s="16" t="inlineStr">
        <is>
          <t>10</t>
        </is>
      </c>
      <c r="C36" s="2" t="inlineStr">
        <is>
          <t>See 'Opportunities Pipeline' tab</t>
        </is>
      </c>
    </row>
    <row r="37">
      <c r="A37" s="15" t="inlineStr">
        <is>
          <t>Expiring Contracts Tracked</t>
        </is>
      </c>
      <c r="B37" s="16" t="inlineStr">
        <is>
          <t>5</t>
        </is>
      </c>
      <c r="C37" s="2" t="inlineStr">
        <is>
          <t>See 'Expiring Contracts' tab</t>
        </is>
      </c>
    </row>
    <row r="38">
      <c r="A38" s="15" t="inlineStr">
        <is>
          <t>Sources Sought to Respond</t>
        </is>
      </c>
      <c r="B38" s="16" t="inlineStr">
        <is>
          <t>3</t>
        </is>
      </c>
      <c r="C38" s="2" t="inlineStr">
        <is>
          <t>See 'Sources Sought Tracker' tab</t>
        </is>
      </c>
    </row>
    <row r="39">
      <c r="A39" s="15" t="inlineStr">
        <is>
          <t>Decision Makers Identified</t>
        </is>
      </c>
      <c r="B39" s="16" t="inlineStr">
        <is>
          <t>68+</t>
        </is>
      </c>
      <c r="C39" s="2" t="inlineStr">
        <is>
          <t>See 'Decision Makers' tab</t>
        </is>
      </c>
    </row>
    <row r="40">
      <c r="A40" s="15" t="inlineStr">
        <is>
          <t>Past Performance References</t>
        </is>
      </c>
      <c r="B40" s="16" t="inlineStr">
        <is>
          <t>0 (building)</t>
        </is>
      </c>
      <c r="C40" s="2" t="inlineStr">
        <is>
          <t>See 'Past Performance' tab</t>
        </is>
      </c>
    </row>
  </sheetData>
  <autoFilter ref="A10:E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2" customWidth="1" min="2" max="2"/>
    <col width="32" customWidth="1" min="3" max="3"/>
    <col width="14" customWidth="1" min="4" max="4"/>
    <col width="18" customWidth="1" min="5" max="5"/>
    <col width="14" customWidth="1" min="6" max="6"/>
    <col width="21" customWidth="1" min="7" max="7"/>
    <col width="21" customWidth="1" min="8" max="8"/>
    <col width="16" customWidth="1" min="9" max="9"/>
    <col width="15" customWidth="1" min="10" max="10"/>
    <col width="14" customWidth="1" min="11" max="11"/>
    <col width="26" customWidth="1" min="12" max="12"/>
    <col width="42" customWidth="1" min="13" max="13"/>
    <col width="35" customWidth="1" min="14" max="14"/>
    <col width="21" customWidth="1" min="15" max="15"/>
    <col width="42" customWidth="1" min="16" max="16"/>
  </cols>
  <sheetData>
    <row r="1" ht="35" customHeight="1">
      <c r="A1" s="6" t="inlineStr">
        <is>
          <t>Opportunity ID</t>
        </is>
      </c>
      <c r="B1" s="6" t="inlineStr">
        <is>
          <t>Title</t>
        </is>
      </c>
      <c r="C1" s="6" t="inlineStr">
        <is>
          <t>Agency</t>
        </is>
      </c>
      <c r="D1" s="6" t="inlineStr">
        <is>
          <t>Level</t>
        </is>
      </c>
      <c r="E1" s="6" t="inlineStr">
        <is>
          <t>Type</t>
        </is>
      </c>
      <c r="F1" s="6" t="inlineStr">
        <is>
          <t>Est. Value</t>
        </is>
      </c>
      <c r="G1" s="6" t="inlineStr">
        <is>
          <t>Response Deadline</t>
        </is>
      </c>
      <c r="H1" s="6" t="inlineStr">
        <is>
          <t>Days Until Deadline</t>
        </is>
      </c>
      <c r="I1" s="6" t="inlineStr">
        <is>
          <t>Priority Score</t>
        </is>
      </c>
      <c r="J1" s="6" t="inlineStr">
        <is>
          <t>Priority Tier</t>
        </is>
      </c>
      <c r="K1" s="6" t="inlineStr">
        <is>
          <t>Status</t>
        </is>
      </c>
      <c r="L1" s="6" t="inlineStr">
        <is>
          <t>Set-Aside Status</t>
        </is>
      </c>
      <c r="M1" s="6" t="inlineStr">
        <is>
          <t>Key Requirements</t>
        </is>
      </c>
      <c r="N1" s="6" t="inlineStr">
        <is>
          <t>Decision Maker</t>
        </is>
      </c>
      <c r="O1" s="6" t="inlineStr">
        <is>
          <t>Relationship Status</t>
        </is>
      </c>
      <c r="P1" s="6" t="inlineStr">
        <is>
          <t>Notes</t>
        </is>
      </c>
    </row>
    <row r="2">
      <c r="A2" s="10" t="inlineStr">
        <is>
          <t>SAM-2026-FL-001</t>
        </is>
      </c>
      <c r="B2" s="10" t="inlineStr">
        <is>
          <t>Food Supply — FCI Coleman Complex</t>
        </is>
      </c>
      <c r="C2" s="10" t="inlineStr">
        <is>
          <t>Federal Bureau of Prisons</t>
        </is>
      </c>
      <c r="D2" s="10" t="inlineStr">
        <is>
          <t>Federal</t>
        </is>
      </c>
      <c r="E2" s="10" t="inlineStr">
        <is>
          <t>RFQ</t>
        </is>
      </c>
      <c r="F2" s="11" t="n">
        <v>250000</v>
      </c>
      <c r="G2" s="17" t="n">
        <v>46157</v>
      </c>
      <c r="H2" s="10">
        <f>INT(G2-TODAY())</f>
        <v/>
      </c>
      <c r="I2" s="10" t="n">
        <v>82</v>
      </c>
      <c r="J2" s="10" t="inlineStr">
        <is>
          <t>HIGH</t>
        </is>
      </c>
      <c r="K2" s="10" t="inlineStr">
        <is>
          <t>New</t>
        </is>
      </c>
      <c r="L2" s="10" t="inlineStr">
        <is>
          <t>Small Business Set-Aside</t>
        </is>
      </c>
      <c r="M2" s="10" t="inlineStr">
        <is>
          <t>Broad-line grocery, 3x/week delivery, cold chain required</t>
        </is>
      </c>
      <c r="N2" s="10" t="inlineStr">
        <is>
          <t>TBD — Food Service Administrator</t>
        </is>
      </c>
      <c r="O2" s="10" t="inlineStr">
        <is>
          <t>Not Started</t>
        </is>
      </c>
      <c r="P2" s="10" t="inlineStr">
        <is>
          <t>Largest federal prison complex in US. High volume.</t>
        </is>
      </c>
    </row>
    <row r="3">
      <c r="A3" s="7" t="inlineStr">
        <is>
          <t>SAM-2026-FL-002</t>
        </is>
      </c>
      <c r="B3" s="7" t="inlineStr">
        <is>
          <t>Fresh Produce Supply — VA Tampa</t>
        </is>
      </c>
      <c r="C3" s="7" t="inlineStr">
        <is>
          <t>Department of Veterans Affairs</t>
        </is>
      </c>
      <c r="D3" s="7" t="inlineStr">
        <is>
          <t>Federal</t>
        </is>
      </c>
      <c r="E3" s="7" t="inlineStr">
        <is>
          <t>RFQ</t>
        </is>
      </c>
      <c r="F3" s="8" t="n">
        <v>120000</v>
      </c>
      <c r="G3" s="18" t="n">
        <v>46132</v>
      </c>
      <c r="H3" s="7">
        <f>INT(G3-TODAY())</f>
        <v/>
      </c>
      <c r="I3" s="7" t="n">
        <v>75</v>
      </c>
      <c r="J3" s="7" t="inlineStr">
        <is>
          <t>HIGH</t>
        </is>
      </c>
      <c r="K3" s="7" t="inlineStr">
        <is>
          <t>New</t>
        </is>
      </c>
      <c r="L3" s="7" t="inlineStr">
        <is>
          <t>Small Business Set-Aside</t>
        </is>
      </c>
      <c r="M3" s="7" t="inlineStr">
        <is>
          <t>Fresh fruits &amp; vegetables, daily delivery, HACCP required</t>
        </is>
      </c>
      <c r="N3" s="7" t="inlineStr">
        <is>
          <t>NFS Manager — James A. Haley VAMC</t>
        </is>
      </c>
      <c r="O3" s="7" t="inlineStr">
        <is>
          <t>Not Started</t>
        </is>
      </c>
      <c r="P3" s="7" t="inlineStr">
        <is>
          <t>Major VA medical center. Weekly produce orders.</t>
        </is>
      </c>
    </row>
    <row r="4">
      <c r="A4" s="10" t="inlineStr">
        <is>
          <t>MFMP-2026-003</t>
        </is>
      </c>
      <c r="B4" s="10" t="inlineStr">
        <is>
          <t>School Nutrition Food Supply — Polk County</t>
        </is>
      </c>
      <c r="C4" s="10" t="inlineStr">
        <is>
          <t>Polk County School District</t>
        </is>
      </c>
      <c r="D4" s="10" t="inlineStr">
        <is>
          <t>Local</t>
        </is>
      </c>
      <c r="E4" s="10" t="inlineStr">
        <is>
          <t>IFB</t>
        </is>
      </c>
      <c r="F4" s="11" t="n">
        <v>180000</v>
      </c>
      <c r="G4" s="17" t="n">
        <v>46174</v>
      </c>
      <c r="H4" s="10">
        <f>INT(G4-TODAY())</f>
        <v/>
      </c>
      <c r="I4" s="10" t="n">
        <v>88</v>
      </c>
      <c r="J4" s="10" t="inlineStr">
        <is>
          <t>HIGH</t>
        </is>
      </c>
      <c r="K4" s="10" t="inlineStr">
        <is>
          <t>New</t>
        </is>
      </c>
      <c r="L4" s="10" t="inlineStr">
        <is>
          <t>Local Preference</t>
        </is>
      </c>
      <c r="M4" s="10" t="inlineStr">
        <is>
          <t>Broad-line grocery + frozen items for 105K students</t>
        </is>
      </c>
      <c r="N4" s="10" t="inlineStr">
        <is>
          <t>Food Service Director</t>
        </is>
      </c>
      <c r="O4" s="10" t="inlineStr">
        <is>
          <t>Not Started</t>
        </is>
      </c>
      <c r="P4" s="10" t="inlineStr">
        <is>
          <t>Mid-size district. Less national competition.</t>
        </is>
      </c>
    </row>
    <row r="5">
      <c r="A5" s="7" t="inlineStr">
        <is>
          <t>MFMP-2026-004</t>
        </is>
      </c>
      <c r="B5" s="7" t="inlineStr">
        <is>
          <t>Jail Food Supply — Hillsborough County</t>
        </is>
      </c>
      <c r="C5" s="7" t="inlineStr">
        <is>
          <t>Hillsborough County Sheriff</t>
        </is>
      </c>
      <c r="D5" s="7" t="inlineStr">
        <is>
          <t>Local</t>
        </is>
      </c>
      <c r="E5" s="7" t="inlineStr">
        <is>
          <t>RFP</t>
        </is>
      </c>
      <c r="F5" s="8" t="n">
        <v>320000</v>
      </c>
      <c r="G5" s="18" t="n">
        <v>46218</v>
      </c>
      <c r="H5" s="7">
        <f>INT(G5-TODAY())</f>
        <v/>
      </c>
      <c r="I5" s="7" t="n">
        <v>70</v>
      </c>
      <c r="J5" s="7" t="inlineStr">
        <is>
          <t>HIGH</t>
        </is>
      </c>
      <c r="K5" s="7" t="inlineStr">
        <is>
          <t>New</t>
        </is>
      </c>
      <c r="L5" s="7" t="inlineStr">
        <is>
          <t>None</t>
        </is>
      </c>
      <c r="M5" s="7" t="inlineStr">
        <is>
          <t>Inmate meal ingredients, 3 meals/day, ~3,500 inmates</t>
        </is>
      </c>
      <c r="N5" s="7" t="inlineStr">
        <is>
          <t>Purchasing Dept Contact</t>
        </is>
      </c>
      <c r="O5" s="7" t="inlineStr">
        <is>
          <t>Not Started</t>
        </is>
      </c>
      <c r="P5" s="7" t="inlineStr">
        <is>
          <t>Large county jail. Check if self-operated or contracted.</t>
        </is>
      </c>
    </row>
    <row r="6">
      <c r="A6" s="10" t="inlineStr">
        <is>
          <t>DS-2026-005</t>
        </is>
      </c>
      <c r="B6" s="10" t="inlineStr">
        <is>
          <t>Canned &amp; Dry Goods — Brevard County Schools</t>
        </is>
      </c>
      <c r="C6" s="10" t="inlineStr">
        <is>
          <t>Brevard Public Schools</t>
        </is>
      </c>
      <c r="D6" s="10" t="inlineStr">
        <is>
          <t>Local</t>
        </is>
      </c>
      <c r="E6" s="10" t="inlineStr">
        <is>
          <t>RFQ</t>
        </is>
      </c>
      <c r="F6" s="11" t="n">
        <v>85000</v>
      </c>
      <c r="G6" s="17" t="n">
        <v>46172</v>
      </c>
      <c r="H6" s="10">
        <f>INT(G6-TODAY())</f>
        <v/>
      </c>
      <c r="I6" s="10" t="n">
        <v>65</v>
      </c>
      <c r="J6" s="10" t="inlineStr">
        <is>
          <t>MEDIUM</t>
        </is>
      </c>
      <c r="K6" s="10" t="inlineStr">
        <is>
          <t>New</t>
        </is>
      </c>
      <c r="L6" s="10" t="inlineStr">
        <is>
          <t>Local Preference</t>
        </is>
      </c>
      <c r="M6" s="10" t="inlineStr">
        <is>
          <t>Canned vegetables, dry pasta, rice, beans — school cafeteria supply</t>
        </is>
      </c>
      <c r="N6" s="10" t="inlineStr">
        <is>
          <t>Food Service Director</t>
        </is>
      </c>
      <c r="O6" s="10" t="inlineStr">
        <is>
          <t>Not Started</t>
        </is>
      </c>
      <c r="P6" s="10" t="inlineStr">
        <is>
          <t>Space Coast district. 75K students.</t>
        </is>
      </c>
    </row>
    <row r="7">
      <c r="A7" s="7" t="inlineStr">
        <is>
          <t>SAM-2026-FL-006</t>
        </is>
      </c>
      <c r="B7" s="7" t="inlineStr">
        <is>
          <t>Dairy Products — NAS Jacksonville</t>
        </is>
      </c>
      <c r="C7" s="7" t="inlineStr">
        <is>
          <t>Defense Logistics Agency</t>
        </is>
      </c>
      <c r="D7" s="7" t="inlineStr">
        <is>
          <t>Federal</t>
        </is>
      </c>
      <c r="E7" s="7" t="inlineStr">
        <is>
          <t>Sources Sought</t>
        </is>
      </c>
      <c r="F7" s="8" t="n">
        <v>200000</v>
      </c>
      <c r="G7" s="18" t="n">
        <v>46122</v>
      </c>
      <c r="H7" s="7">
        <f>INT(G7-TODAY())</f>
        <v/>
      </c>
      <c r="I7" s="7" t="n">
        <v>55</v>
      </c>
      <c r="J7" s="7" t="inlineStr">
        <is>
          <t>MEDIUM</t>
        </is>
      </c>
      <c r="K7" s="7" t="inlineStr">
        <is>
          <t>New</t>
        </is>
      </c>
      <c r="L7" s="7" t="inlineStr">
        <is>
          <t>Full &amp; Open</t>
        </is>
      </c>
      <c r="M7" s="7" t="inlineStr">
        <is>
          <t>Milk, cheese, yogurt for base dining facilities</t>
        </is>
      </c>
      <c r="N7" s="7" t="inlineStr">
        <is>
          <t>DLA Troop Support</t>
        </is>
      </c>
      <c r="O7" s="7" t="inlineStr">
        <is>
          <t>Not Started</t>
        </is>
      </c>
      <c r="P7" s="7" t="inlineStr">
        <is>
          <t>Pre-solicitation. Respond to shape requirements.</t>
        </is>
      </c>
    </row>
    <row r="8">
      <c r="A8" s="10" t="inlineStr">
        <is>
          <t>MFMP-2026-007</t>
        </is>
      </c>
      <c r="B8" s="10" t="inlineStr">
        <is>
          <t>Snack &amp; Beverage Supply — Seminole County Schools</t>
        </is>
      </c>
      <c r="C8" s="10" t="inlineStr">
        <is>
          <t>Seminole County Public Schools</t>
        </is>
      </c>
      <c r="D8" s="10" t="inlineStr">
        <is>
          <t>Local</t>
        </is>
      </c>
      <c r="E8" s="10" t="inlineStr">
        <is>
          <t>RFQ</t>
        </is>
      </c>
      <c r="F8" s="11" t="n">
        <v>60000</v>
      </c>
      <c r="G8" s="17" t="n">
        <v>46188</v>
      </c>
      <c r="H8" s="10">
        <f>INT(G8-TODAY())</f>
        <v/>
      </c>
      <c r="I8" s="10" t="n">
        <v>60</v>
      </c>
      <c r="J8" s="10" t="inlineStr">
        <is>
          <t>MEDIUM</t>
        </is>
      </c>
      <c r="K8" s="10" t="inlineStr">
        <is>
          <t>New</t>
        </is>
      </c>
      <c r="L8" s="10" t="inlineStr">
        <is>
          <t>Local Preference</t>
        </is>
      </c>
      <c r="M8" s="10" t="inlineStr">
        <is>
          <t>Vending and a la carte snacks, beverages for 67K students</t>
        </is>
      </c>
      <c r="N8" s="10" t="inlineStr">
        <is>
          <t>Food Service Director</t>
        </is>
      </c>
      <c r="O8" s="10" t="inlineStr">
        <is>
          <t>Not Started</t>
        </is>
      </c>
      <c r="P8" s="10" t="inlineStr">
        <is>
          <t>Good candy/snack entry point.</t>
        </is>
      </c>
    </row>
    <row r="9">
      <c r="A9" s="7" t="inlineStr">
        <is>
          <t>SAM-2026-FL-008</t>
        </is>
      </c>
      <c r="B9" s="7" t="inlineStr">
        <is>
          <t>Emergency Food Staging — FEMA Region IV</t>
        </is>
      </c>
      <c r="C9" s="7" t="inlineStr">
        <is>
          <t>FEMA</t>
        </is>
      </c>
      <c r="D9" s="7" t="inlineStr">
        <is>
          <t>Federal</t>
        </is>
      </c>
      <c r="E9" s="7" t="inlineStr">
        <is>
          <t>Pre-Solicitation</t>
        </is>
      </c>
      <c r="F9" s="8" t="n">
        <v>500000</v>
      </c>
      <c r="G9" s="18" t="n">
        <v>46235</v>
      </c>
      <c r="H9" s="7">
        <f>INT(G9-TODAY())</f>
        <v/>
      </c>
      <c r="I9" s="7" t="n">
        <v>45</v>
      </c>
      <c r="J9" s="7" t="inlineStr">
        <is>
          <t>MEDIUM</t>
        </is>
      </c>
      <c r="K9" s="7" t="inlineStr">
        <is>
          <t>New</t>
        </is>
      </c>
      <c r="L9" s="7" t="inlineStr">
        <is>
          <t>Small Business</t>
        </is>
      </c>
      <c r="M9" s="7" t="inlineStr">
        <is>
          <t>Pre-positioned food for hurricane season. FL warehouse required.</t>
        </is>
      </c>
      <c r="N9" s="7" t="inlineStr">
        <is>
          <t>FEMA Procurement</t>
        </is>
      </c>
      <c r="O9" s="7" t="inlineStr">
        <is>
          <t>Not Started</t>
        </is>
      </c>
      <c r="P9" s="7" t="inlineStr">
        <is>
          <t>Hurricane season prep. Newport's warehouse = key advantage.</t>
        </is>
      </c>
    </row>
    <row r="10">
      <c r="A10" s="10" t="inlineStr">
        <is>
          <t>DS-2026-009</t>
        </is>
      </c>
      <c r="B10" s="10" t="inlineStr">
        <is>
          <t>Meat &amp; Poultry — Lee County Schools</t>
        </is>
      </c>
      <c r="C10" s="10" t="inlineStr">
        <is>
          <t>Lee County School District</t>
        </is>
      </c>
      <c r="D10" s="10" t="inlineStr">
        <is>
          <t>Local</t>
        </is>
      </c>
      <c r="E10" s="10" t="inlineStr">
        <is>
          <t>IFB</t>
        </is>
      </c>
      <c r="F10" s="11" t="n">
        <v>95000</v>
      </c>
      <c r="G10" s="17" t="n">
        <v>46143</v>
      </c>
      <c r="H10" s="10">
        <f>INT(G10-TODAY())</f>
        <v/>
      </c>
      <c r="I10" s="10" t="n">
        <v>50</v>
      </c>
      <c r="J10" s="10" t="inlineStr">
        <is>
          <t>MEDIUM</t>
        </is>
      </c>
      <c r="K10" s="10" t="inlineStr">
        <is>
          <t>New</t>
        </is>
      </c>
      <c r="L10" s="10" t="inlineStr">
        <is>
          <t>Local Preference</t>
        </is>
      </c>
      <c r="M10" s="10" t="inlineStr">
        <is>
          <t>Ground beef, chicken, turkey for school meal program</t>
        </is>
      </c>
      <c r="N10" s="10" t="inlineStr">
        <is>
          <t>Food Service Director</t>
        </is>
      </c>
      <c r="O10" s="10" t="inlineStr">
        <is>
          <t>Not Started</t>
        </is>
      </c>
      <c r="P10" s="10" t="inlineStr">
        <is>
          <t>Fort Myers area. Growing district.</t>
        </is>
      </c>
    </row>
    <row r="11">
      <c r="A11" s="7" t="inlineStr">
        <is>
          <t>MFMP-2026-010</t>
        </is>
      </c>
      <c r="B11" s="7" t="inlineStr">
        <is>
          <t>Bakery Products — FL Dept of Corrections</t>
        </is>
      </c>
      <c r="C11" s="7" t="inlineStr">
        <is>
          <t>Florida DOC</t>
        </is>
      </c>
      <c r="D11" s="7" t="inlineStr">
        <is>
          <t>State</t>
        </is>
      </c>
      <c r="E11" s="7" t="inlineStr">
        <is>
          <t>RFQ</t>
        </is>
      </c>
      <c r="F11" s="8" t="n">
        <v>150000</v>
      </c>
      <c r="G11" s="18" t="n">
        <v>46266</v>
      </c>
      <c r="H11" s="7">
        <f>INT(G11-TODAY())</f>
        <v/>
      </c>
      <c r="I11" s="7" t="n">
        <v>35</v>
      </c>
      <c r="J11" s="7" t="inlineStr">
        <is>
          <t>LOW</t>
        </is>
      </c>
      <c r="K11" s="7" t="inlineStr">
        <is>
          <t>New</t>
        </is>
      </c>
      <c r="L11" s="7" t="inlineStr">
        <is>
          <t>None</t>
        </is>
      </c>
      <c r="M11" s="7" t="inlineStr">
        <is>
          <t>Bread, rolls, baked goods for state prison system</t>
        </is>
      </c>
      <c r="N11" s="7" t="inlineStr">
        <is>
          <t>MFMP Category Manager</t>
        </is>
      </c>
      <c r="O11" s="7" t="inlineStr">
        <is>
          <t>Not Started</t>
        </is>
      </c>
      <c r="P11" s="7" t="inlineStr">
        <is>
          <t>State DOC uses Aramark. May be sub-supply opportunity.</t>
        </is>
      </c>
    </row>
  </sheetData>
  <autoFilter ref="A1:P1"/>
  <conditionalFormatting sqref="J2:J100">
    <cfRule type="cellIs" priority="1" operator="equal" dxfId="0">
      <formula>"HIGH"</formula>
    </cfRule>
    <cfRule type="cellIs" priority="2" operator="equal" dxfId="1">
      <formula>"MEDIUM"</formula>
    </cfRule>
    <cfRule type="cellIs" priority="3" operator="equal" dxfId="2">
      <formula>"LOW"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3" customWidth="1" min="3" max="3"/>
    <col width="29" customWidth="1" min="4" max="4"/>
    <col width="27" customWidth="1" min="5" max="5"/>
    <col width="14" customWidth="1" min="6" max="6"/>
    <col width="21" customWidth="1" min="7" max="7"/>
    <col width="23" customWidth="1" min="8" max="8"/>
    <col width="27" customWidth="1" min="9" max="9"/>
    <col width="24" customWidth="1" min="10" max="10"/>
    <col width="25" customWidth="1" min="11" max="11"/>
    <col width="17" customWidth="1" min="12" max="12"/>
    <col width="42" customWidth="1" min="13" max="13"/>
  </cols>
  <sheetData>
    <row r="1" ht="35" customHeight="1">
      <c r="A1" s="6" t="inlineStr">
        <is>
          <t>Contract Number</t>
        </is>
      </c>
      <c r="B1" s="6" t="inlineStr">
        <is>
          <t>Current Vendor</t>
        </is>
      </c>
      <c r="C1" s="6" t="inlineStr">
        <is>
          <t>Incumbent Performance</t>
        </is>
      </c>
      <c r="D1" s="6" t="inlineStr">
        <is>
          <t>Agency</t>
        </is>
      </c>
      <c r="E1" s="6" t="inlineStr">
        <is>
          <t>Facility</t>
        </is>
      </c>
      <c r="F1" s="6" t="inlineStr">
        <is>
          <t>Annual Value</t>
        </is>
      </c>
      <c r="G1" s="6" t="inlineStr">
        <is>
          <t>Expiration Date</t>
        </is>
      </c>
      <c r="H1" s="6" t="inlineStr">
        <is>
          <t>Months Until Expiry</t>
        </is>
      </c>
      <c r="I1" s="6" t="inlineStr">
        <is>
          <t>Contracting Officer</t>
        </is>
      </c>
      <c r="J1" s="6" t="inlineStr">
        <is>
          <t>Food Service Admin</t>
        </is>
      </c>
      <c r="K1" s="6" t="inlineStr">
        <is>
          <t>Entry Opportunity Score</t>
        </is>
      </c>
      <c r="L1" s="6" t="inlineStr">
        <is>
          <t>Outreach Status</t>
        </is>
      </c>
      <c r="M1" s="6" t="inlineStr">
        <is>
          <t>Notes</t>
        </is>
      </c>
    </row>
    <row r="2">
      <c r="A2" s="10" t="inlineStr">
        <is>
          <t>BOP-FL-2022-0145</t>
        </is>
      </c>
      <c r="B2" s="10" t="inlineStr">
        <is>
          <t>Sysco Government</t>
        </is>
      </c>
      <c r="C2" s="10" t="inlineStr">
        <is>
          <t>Good</t>
        </is>
      </c>
      <c r="D2" s="10" t="inlineStr">
        <is>
          <t>Bureau of Prisons</t>
        </is>
      </c>
      <c r="E2" s="10" t="inlineStr">
        <is>
          <t>FCI Coleman Complex</t>
        </is>
      </c>
      <c r="F2" s="11" t="n">
        <v>450000</v>
      </c>
      <c r="G2" s="17" t="n">
        <v>46477</v>
      </c>
      <c r="H2" s="10">
        <f>INT((G2-TODAY())/30)</f>
        <v/>
      </c>
      <c r="I2" s="10" t="inlineStr">
        <is>
          <t>TBD — FPDS Lookup</t>
        </is>
      </c>
      <c r="J2" s="10" t="inlineStr">
        <is>
          <t>TBD — Call Institution</t>
        </is>
      </c>
      <c r="K2" s="10" t="n">
        <v>65</v>
      </c>
      <c r="L2" s="10" t="inlineStr">
        <is>
          <t>Not Started</t>
        </is>
      </c>
      <c r="M2" s="10" t="inlineStr">
        <is>
          <t>Largest BOP complex. High value. Strong incumbent.</t>
        </is>
      </c>
    </row>
    <row r="3">
      <c r="A3" s="7" t="inlineStr">
        <is>
          <t>VA-FL-2023-0089</t>
        </is>
      </c>
      <c r="B3" s="7" t="inlineStr">
        <is>
          <t>US Foods</t>
        </is>
      </c>
      <c r="C3" s="7" t="inlineStr">
        <is>
          <t>Mixed</t>
        </is>
      </c>
      <c r="D3" s="7" t="inlineStr">
        <is>
          <t>VA — James A. Haley</t>
        </is>
      </c>
      <c r="E3" s="7" t="inlineStr">
        <is>
          <t>Tampa VAMC</t>
        </is>
      </c>
      <c r="F3" s="8" t="n">
        <v>180000</v>
      </c>
      <c r="G3" s="18" t="n">
        <v>46295</v>
      </c>
      <c r="H3" s="7">
        <f>INT((G3-TODAY())/30)</f>
        <v/>
      </c>
      <c r="I3" s="7" t="inlineStr">
        <is>
          <t>TBD — FPDS Lookup</t>
        </is>
      </c>
      <c r="J3" s="7" t="inlineStr">
        <is>
          <t>NFS Manager</t>
        </is>
      </c>
      <c r="K3" s="7" t="n">
        <v>78</v>
      </c>
      <c r="L3" s="7" t="inlineStr">
        <is>
          <t>Not Started</t>
        </is>
      </c>
      <c r="M3" s="7" t="inlineStr">
        <is>
          <t>Mixed reviews on delivery consistency. Opportunity.</t>
        </is>
      </c>
    </row>
    <row r="4">
      <c r="A4" s="10" t="inlineStr">
        <is>
          <t>PBCSD-2023-FN-042</t>
        </is>
      </c>
      <c r="B4" s="10" t="inlineStr">
        <is>
          <t>Local Distributor</t>
        </is>
      </c>
      <c r="C4" s="10" t="inlineStr">
        <is>
          <t>Unknown</t>
        </is>
      </c>
      <c r="D4" s="10" t="inlineStr">
        <is>
          <t>Palm Beach County Schools</t>
        </is>
      </c>
      <c r="E4" s="10" t="inlineStr">
        <is>
          <t>District-wide</t>
        </is>
      </c>
      <c r="F4" s="11" t="n">
        <v>350000</v>
      </c>
      <c r="G4" s="17" t="n">
        <v>46387</v>
      </c>
      <c r="H4" s="10">
        <f>INT((G4-TODAY())/30)</f>
        <v/>
      </c>
      <c r="I4" s="10" t="inlineStr">
        <is>
          <t>Procurement Dept</t>
        </is>
      </c>
      <c r="J4" s="10" t="inlineStr">
        <is>
          <t>Food Service Director</t>
        </is>
      </c>
      <c r="K4" s="10" t="n">
        <v>82</v>
      </c>
      <c r="L4" s="10" t="inlineStr">
        <is>
          <t>Not Started</t>
        </is>
      </c>
      <c r="M4" s="10" t="inlineStr">
        <is>
          <t>195K students. Contract expiring. Strong entry point.</t>
        </is>
      </c>
    </row>
    <row r="5">
      <c r="A5" s="7" t="inlineStr">
        <is>
          <t>HCSO-2024-FOOD-001</t>
        </is>
      </c>
      <c r="B5" s="7" t="inlineStr">
        <is>
          <t>Aramark</t>
        </is>
      </c>
      <c r="C5" s="7" t="inlineStr">
        <is>
          <t>Poor</t>
        </is>
      </c>
      <c r="D5" s="7" t="inlineStr">
        <is>
          <t>Hillsborough County Sheriff</t>
        </is>
      </c>
      <c r="E5" s="7" t="inlineStr">
        <is>
          <t>Orient Road Jail</t>
        </is>
      </c>
      <c r="F5" s="8" t="n">
        <v>280000</v>
      </c>
      <c r="G5" s="18" t="n">
        <v>46568</v>
      </c>
      <c r="H5" s="7">
        <f>INT((G5-TODAY())/30)</f>
        <v/>
      </c>
      <c r="I5" s="7" t="inlineStr">
        <is>
          <t>County Purchasing</t>
        </is>
      </c>
      <c r="J5" s="7" t="inlineStr">
        <is>
          <t>Jail Food Service Mgr</t>
        </is>
      </c>
      <c r="K5" s="7" t="n">
        <v>72</v>
      </c>
      <c r="L5" s="7" t="inlineStr">
        <is>
          <t>Not Started</t>
        </is>
      </c>
      <c r="M5" s="7" t="inlineStr">
        <is>
          <t>Aramark performance complaints. Tampa area.</t>
        </is>
      </c>
    </row>
    <row r="6">
      <c r="A6" s="10" t="inlineStr">
        <is>
          <t>USDA-FL-2023-AMS-017</t>
        </is>
      </c>
      <c r="B6" s="10" t="inlineStr">
        <is>
          <t>Regional Distributor</t>
        </is>
      </c>
      <c r="C6" s="10" t="inlineStr">
        <is>
          <t>Good</t>
        </is>
      </c>
      <c r="D6" s="10" t="inlineStr">
        <is>
          <t>USDA AMS</t>
        </is>
      </c>
      <c r="E6" s="10" t="inlineStr">
        <is>
          <t>FL Commodity Distribution</t>
        </is>
      </c>
      <c r="F6" s="11" t="n">
        <v>200000</v>
      </c>
      <c r="G6" s="17" t="n">
        <v>46265</v>
      </c>
      <c r="H6" s="10">
        <f>INT((G6-TODAY())/30)</f>
        <v/>
      </c>
      <c r="I6" s="10" t="inlineStr">
        <is>
          <t>AMS Commodity Procurement</t>
        </is>
      </c>
      <c r="J6" s="10" t="inlineStr">
        <is>
          <t>State USDA Contact</t>
        </is>
      </c>
      <c r="K6" s="10" t="n">
        <v>58</v>
      </c>
      <c r="L6" s="10" t="inlineStr">
        <is>
          <t>Not Started</t>
        </is>
      </c>
      <c r="M6" s="10" t="inlineStr">
        <is>
          <t>USDA commodity program. Requires QBL approval.</t>
        </is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19" customWidth="1" min="3" max="3"/>
    <col width="21" customWidth="1" min="4" max="4"/>
    <col width="21" customWidth="1" min="5" max="5"/>
    <col width="18" customWidth="1" min="6" max="6"/>
    <col width="17" customWidth="1" min="7" max="7"/>
    <col width="25" customWidth="1" min="8" max="8"/>
    <col width="33" customWidth="1" min="9" max="9"/>
    <col width="42" customWidth="1" min="10" max="10"/>
  </cols>
  <sheetData>
    <row r="1" ht="35" customHeight="1">
      <c r="A1" s="6" t="inlineStr">
        <is>
          <t>Notice ID</t>
        </is>
      </c>
      <c r="B1" s="6" t="inlineStr">
        <is>
          <t>Title</t>
        </is>
      </c>
      <c r="C1" s="6" t="inlineStr">
        <is>
          <t>Agency</t>
        </is>
      </c>
      <c r="D1" s="6" t="inlineStr">
        <is>
          <t>Posted Date</t>
        </is>
      </c>
      <c r="E1" s="6" t="inlineStr">
        <is>
          <t>Response Deadline</t>
        </is>
      </c>
      <c r="F1" s="6" t="inlineStr">
        <is>
          <t>Days to Respond</t>
        </is>
      </c>
      <c r="G1" s="6" t="inlineStr">
        <is>
          <t>Response Status</t>
        </is>
      </c>
      <c r="H1" s="6" t="inlineStr">
        <is>
          <t>Response Submitted Date</t>
        </is>
      </c>
      <c r="I1" s="6" t="inlineStr">
        <is>
          <t>Follow-Up Actions</t>
        </is>
      </c>
      <c r="J1" s="6" t="inlineStr">
        <is>
          <t>Notes</t>
        </is>
      </c>
    </row>
    <row r="2">
      <c r="A2" s="10" t="inlineStr">
        <is>
          <t>SS-2026-BOP-FL-001</t>
        </is>
      </c>
      <c r="B2" s="10" t="inlineStr">
        <is>
          <t>Market Research: Food Supply Services — SE Region</t>
        </is>
      </c>
      <c r="C2" s="10" t="inlineStr">
        <is>
          <t>Bureau of Prisons</t>
        </is>
      </c>
      <c r="D2" s="17" t="n">
        <v>46063</v>
      </c>
      <c r="E2" s="17" t="n">
        <v>46091</v>
      </c>
      <c r="F2" s="10">
        <f>INT(E2-TODAY())</f>
        <v/>
      </c>
      <c r="G2" s="10" t="inlineStr">
        <is>
          <t>Drafting</t>
        </is>
      </c>
      <c r="H2" s="10" t="inlineStr"/>
      <c r="I2" s="10" t="inlineStr">
        <is>
          <t>Request Industry Day meeting</t>
        </is>
      </c>
      <c r="J2" s="10" t="inlineStr">
        <is>
          <t>BOP exploring new vendor options for SE institutions</t>
        </is>
      </c>
    </row>
    <row r="3">
      <c r="A3" s="7" t="inlineStr">
        <is>
          <t>SS-2026-USDA-003</t>
        </is>
      </c>
      <c r="B3" s="7" t="inlineStr">
        <is>
          <t>Sources Sought: Fresh Produce Distribution — FL</t>
        </is>
      </c>
      <c r="C3" s="7" t="inlineStr">
        <is>
          <t>USDA AMS</t>
        </is>
      </c>
      <c r="D3" s="18" t="n">
        <v>46068</v>
      </c>
      <c r="E3" s="18" t="n">
        <v>46096</v>
      </c>
      <c r="F3" s="7">
        <f>INT(E3-TODAY())</f>
        <v/>
      </c>
      <c r="G3" s="7" t="inlineStr">
        <is>
          <t>Not Started</t>
        </is>
      </c>
      <c r="H3" s="7" t="inlineStr"/>
      <c r="I3" s="7" t="inlineStr">
        <is>
          <t>Submit capability overview</t>
        </is>
      </c>
      <c r="J3" s="7" t="inlineStr">
        <is>
          <t>USDA expanding FL commodity distribution network</t>
        </is>
      </c>
    </row>
    <row r="4">
      <c r="A4" s="10" t="inlineStr">
        <is>
          <t>SS-2026-FEMA-012</t>
        </is>
      </c>
      <c r="B4" s="10" t="inlineStr">
        <is>
          <t>Pre-Disaster Food Staging — FEMA Region IV</t>
        </is>
      </c>
      <c r="C4" s="10" t="inlineStr">
        <is>
          <t>FEMA</t>
        </is>
      </c>
      <c r="D4" s="17" t="n">
        <v>46042</v>
      </c>
      <c r="E4" s="17" t="n">
        <v>46082</v>
      </c>
      <c r="F4" s="10">
        <f>INT(E4-TODAY())</f>
        <v/>
      </c>
      <c r="G4" s="10" t="inlineStr">
        <is>
          <t>Not Started</t>
        </is>
      </c>
      <c r="H4" s="10" t="inlineStr"/>
      <c r="I4" s="10" t="inlineStr">
        <is>
          <t>Highlight FL warehouse capacity</t>
        </is>
      </c>
      <c r="J4" s="10" t="inlineStr">
        <is>
          <t>Hurricane season preparedness. Newport's warehouse is the pitch.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  <col width="42" customWidth="1" min="3" max="3"/>
    <col width="34" customWidth="1" min="4" max="4"/>
    <col width="27" customWidth="1" min="5" max="5"/>
    <col width="14" customWidth="1" min="6" max="6"/>
    <col width="17" customWidth="1" min="7" max="7"/>
    <col width="25" customWidth="1" min="8" max="8"/>
    <col width="33" customWidth="1" min="9" max="9"/>
    <col width="17" customWidth="1" min="10" max="10"/>
    <col width="17" customWidth="1" min="11" max="11"/>
    <col width="16" customWidth="1" min="12" max="12"/>
    <col width="19" customWidth="1" min="13" max="13"/>
    <col width="42" customWidth="1" min="14" max="14"/>
    <col width="36" customWidth="1" min="15" max="15"/>
    <col width="42" customWidth="1" min="16" max="16"/>
  </cols>
  <sheetData>
    <row r="1" ht="35" customHeight="1">
      <c r="A1" s="6" t="inlineStr">
        <is>
          <t>Name</t>
        </is>
      </c>
      <c r="B1" s="6" t="inlineStr">
        <is>
          <t>Title</t>
        </is>
      </c>
      <c r="C1" s="6" t="inlineStr">
        <is>
          <t>Organization</t>
        </is>
      </c>
      <c r="D1" s="6" t="inlineStr">
        <is>
          <t>Organization Type</t>
        </is>
      </c>
      <c r="E1" s="6" t="inlineStr">
        <is>
          <t>Role Type</t>
        </is>
      </c>
      <c r="F1" s="6" t="inlineStr">
        <is>
          <t>Tier</t>
        </is>
      </c>
      <c r="G1" s="6" t="inlineStr">
        <is>
          <t>Influence Level</t>
        </is>
      </c>
      <c r="H1" s="6" t="inlineStr">
        <is>
          <t>Geography</t>
        </is>
      </c>
      <c r="I1" s="6" t="inlineStr">
        <is>
          <t>Source</t>
        </is>
      </c>
      <c r="J1" s="6" t="inlineStr">
        <is>
          <t>Email Available</t>
        </is>
      </c>
      <c r="K1" s="6" t="inlineStr">
        <is>
          <t>Phone Available</t>
        </is>
      </c>
      <c r="L1" s="6" t="inlineStr">
        <is>
          <t>Contact Status</t>
        </is>
      </c>
      <c r="M1" s="6" t="inlineStr">
        <is>
          <t>Last Contact Date</t>
        </is>
      </c>
      <c r="N1" s="6" t="inlineStr">
        <is>
          <t>Next Action</t>
        </is>
      </c>
      <c r="O1" s="6" t="inlineStr">
        <is>
          <t>Current Vendor</t>
        </is>
      </c>
      <c r="P1" s="6" t="inlineStr">
        <is>
          <t>Notes</t>
        </is>
      </c>
    </row>
    <row r="2">
      <c r="A2" s="10" t="inlineStr">
        <is>
          <t>[Food Service Administrator — Call]</t>
        </is>
      </c>
      <c r="B2" s="10" t="inlineStr">
        <is>
          <t>Food Service Administrator</t>
        </is>
      </c>
      <c r="C2" s="10" t="inlineStr">
        <is>
          <t>FCI Coleman Low</t>
        </is>
      </c>
      <c r="D2" s="10" t="inlineStr">
        <is>
          <t>Federal — BOP</t>
        </is>
      </c>
      <c r="E2" s="10" t="inlineStr">
        <is>
          <t>Food Service</t>
        </is>
      </c>
      <c r="F2" s="10" t="inlineStr">
        <is>
          <t>Tier 1</t>
        </is>
      </c>
      <c r="G2" s="10" t="inlineStr">
        <is>
          <t>High</t>
        </is>
      </c>
      <c r="H2" s="10" t="inlineStr">
        <is>
          <t>Sumterville, FL</t>
        </is>
      </c>
      <c r="I2" s="10" t="inlineStr">
        <is>
          <t>BOP.gov</t>
        </is>
      </c>
      <c r="J2" s="10" t="inlineStr">
        <is>
          <t>No</t>
        </is>
      </c>
      <c r="K2" s="10" t="inlineStr">
        <is>
          <t>Yes</t>
        </is>
      </c>
      <c r="L2" s="10" t="inlineStr">
        <is>
          <t>Not Started</t>
        </is>
      </c>
      <c r="M2" s="10" t="inlineStr"/>
      <c r="N2" s="10" t="inlineStr">
        <is>
          <t>Call institution, ask for Food Service Administrator</t>
        </is>
      </c>
      <c r="O2" s="10" t="inlineStr">
        <is>
          <t>Unknown — verify via SAM.gov</t>
        </is>
      </c>
      <c r="P2" s="10" t="inlineStr">
        <is>
          <t>~1670 inmates. Low security. Part of FCC Coleman complex; houses male inmates. Complex Warden Carlton (high-security) and Warden Brown (medium) referenced Dec 2025.</t>
        </is>
      </c>
    </row>
    <row r="3">
      <c r="A3" s="7" t="inlineStr">
        <is>
          <t>[Food Service Administrator — Call]</t>
        </is>
      </c>
      <c r="B3" s="7" t="inlineStr">
        <is>
          <t>Food Service Administrator</t>
        </is>
      </c>
      <c r="C3" s="7" t="inlineStr">
        <is>
          <t>FCI Coleman Medium</t>
        </is>
      </c>
      <c r="D3" s="7" t="inlineStr">
        <is>
          <t>Federal — BOP</t>
        </is>
      </c>
      <c r="E3" s="7" t="inlineStr">
        <is>
          <t>Food Service</t>
        </is>
      </c>
      <c r="F3" s="7" t="inlineStr">
        <is>
          <t>Tier 1</t>
        </is>
      </c>
      <c r="G3" s="7" t="inlineStr">
        <is>
          <t>High</t>
        </is>
      </c>
      <c r="H3" s="7" t="inlineStr">
        <is>
          <t>Coleman, FL</t>
        </is>
      </c>
      <c r="I3" s="7" t="inlineStr">
        <is>
          <t>BOP.gov</t>
        </is>
      </c>
      <c r="J3" s="7" t="inlineStr">
        <is>
          <t>No</t>
        </is>
      </c>
      <c r="K3" s="7" t="inlineStr">
        <is>
          <t>Yes</t>
        </is>
      </c>
      <c r="L3" s="7" t="inlineStr">
        <is>
          <t>Not Started</t>
        </is>
      </c>
      <c r="M3" s="7" t="inlineStr"/>
      <c r="N3" s="7" t="inlineStr">
        <is>
          <t>Call institution, ask for Food Service Administrator</t>
        </is>
      </c>
      <c r="O3" s="7" t="inlineStr">
        <is>
          <t>Unknown — verify via SAM.gov</t>
        </is>
      </c>
      <c r="P3" s="7" t="inlineStr">
        <is>
          <t>~1413 inmates. Medium security. Part of FCC Coleman complex; houses male inmates</t>
        </is>
      </c>
    </row>
    <row r="4">
      <c r="A4" s="10" t="inlineStr">
        <is>
          <t>Warden Brown (referenced Dec 2025)</t>
        </is>
      </c>
      <c r="B4" s="10" t="inlineStr">
        <is>
          <t>Warden</t>
        </is>
      </c>
      <c r="C4" s="10" t="inlineStr">
        <is>
          <t>FCI Coleman Medium</t>
        </is>
      </c>
      <c r="D4" s="10" t="inlineStr">
        <is>
          <t>Federal — BOP</t>
        </is>
      </c>
      <c r="E4" s="10" t="inlineStr">
        <is>
          <t>Facility Leadership</t>
        </is>
      </c>
      <c r="F4" s="10" t="inlineStr">
        <is>
          <t>Tier 1</t>
        </is>
      </c>
      <c r="G4" s="10" t="inlineStr">
        <is>
          <t>Medium</t>
        </is>
      </c>
      <c r="H4" s="10" t="inlineStr">
        <is>
          <t>Coleman, FL</t>
        </is>
      </c>
      <c r="I4" s="10" t="inlineStr">
        <is>
          <t>BOP.gov / Public Records</t>
        </is>
      </c>
      <c r="J4" s="10" t="inlineStr">
        <is>
          <t>No</t>
        </is>
      </c>
      <c r="K4" s="10" t="inlineStr">
        <is>
          <t>Yes</t>
        </is>
      </c>
      <c r="L4" s="10" t="inlineStr">
        <is>
          <t>Not Started</t>
        </is>
      </c>
      <c r="M4" s="10" t="inlineStr"/>
      <c r="N4" s="10" t="inlineStr">
        <is>
          <t>Call institution main number</t>
        </is>
      </c>
      <c r="O4" s="10" t="inlineStr">
        <is>
          <t>Unknown — verify via SAM.gov</t>
        </is>
      </c>
      <c r="P4" s="10" t="inlineStr">
        <is>
          <t>Facility head. ~1413 inmates. Medium security. Part of FCC Coleman complex; houses male inmates</t>
        </is>
      </c>
    </row>
    <row r="5">
      <c r="A5" s="7" t="inlineStr">
        <is>
          <t>[Food Service Administrator — Call]</t>
        </is>
      </c>
      <c r="B5" s="7" t="inlineStr">
        <is>
          <t>Food Service Administrator</t>
        </is>
      </c>
      <c r="C5" s="7" t="inlineStr">
        <is>
          <t>FCI Marianna</t>
        </is>
      </c>
      <c r="D5" s="7" t="inlineStr">
        <is>
          <t>Federal — BOP</t>
        </is>
      </c>
      <c r="E5" s="7" t="inlineStr">
        <is>
          <t>Food Service</t>
        </is>
      </c>
      <c r="F5" s="7" t="inlineStr">
        <is>
          <t>Tier 1</t>
        </is>
      </c>
      <c r="G5" s="7" t="inlineStr">
        <is>
          <t>High</t>
        </is>
      </c>
      <c r="H5" s="7" t="inlineStr">
        <is>
          <t>Marianna, FL</t>
        </is>
      </c>
      <c r="I5" s="7" t="inlineStr">
        <is>
          <t>BOP.gov</t>
        </is>
      </c>
      <c r="J5" s="7" t="inlineStr">
        <is>
          <t>No</t>
        </is>
      </c>
      <c r="K5" s="7" t="inlineStr">
        <is>
          <t>Yes</t>
        </is>
      </c>
      <c r="L5" s="7" t="inlineStr">
        <is>
          <t>Not Started</t>
        </is>
      </c>
      <c r="M5" s="7" t="inlineStr"/>
      <c r="N5" s="7" t="inlineStr">
        <is>
          <t>Call institution, ask for Food Service Administrator</t>
        </is>
      </c>
      <c r="O5" s="7" t="inlineStr">
        <is>
          <t>Unknown — verify via SAM.gov</t>
        </is>
      </c>
      <c r="P5" s="7" t="inlineStr">
        <is>
          <t>~1415 inmates. Medium security. FCI houses 1213 male inmates + camp houses 202 female inmates. OIG food service inspection site.</t>
        </is>
      </c>
    </row>
    <row r="6">
      <c r="A6" s="10" t="inlineStr">
        <is>
          <t>[Food Service Administrator — Call]</t>
        </is>
      </c>
      <c r="B6" s="10" t="inlineStr">
        <is>
          <t>Food Service Administrator</t>
        </is>
      </c>
      <c r="C6" s="10" t="inlineStr">
        <is>
          <t>FDC Miami</t>
        </is>
      </c>
      <c r="D6" s="10" t="inlineStr">
        <is>
          <t>Federal — BOP</t>
        </is>
      </c>
      <c r="E6" s="10" t="inlineStr">
        <is>
          <t>Food Service</t>
        </is>
      </c>
      <c r="F6" s="10" t="inlineStr">
        <is>
          <t>Tier 1</t>
        </is>
      </c>
      <c r="G6" s="10" t="inlineStr">
        <is>
          <t>High</t>
        </is>
      </c>
      <c r="H6" s="10" t="inlineStr">
        <is>
          <t>Miami, FL</t>
        </is>
      </c>
      <c r="I6" s="10" t="inlineStr">
        <is>
          <t>BOP.gov</t>
        </is>
      </c>
      <c r="J6" s="10" t="inlineStr">
        <is>
          <t>No</t>
        </is>
      </c>
      <c r="K6" s="10" t="inlineStr">
        <is>
          <t>Yes</t>
        </is>
      </c>
      <c r="L6" s="10" t="inlineStr">
        <is>
          <t>Not Started</t>
        </is>
      </c>
      <c r="M6" s="10" t="inlineStr"/>
      <c r="N6" s="10" t="inlineStr">
        <is>
          <t>Call institution, ask for Food Service Administrator</t>
        </is>
      </c>
      <c r="O6" s="10" t="inlineStr">
        <is>
          <t>Unknown — verify via SAM.gov</t>
        </is>
      </c>
      <c r="P6" s="10" t="inlineStr">
        <is>
          <t>~1512 inmates. Administrative security. Houses male and female inmates; downtown Miami location</t>
        </is>
      </c>
    </row>
    <row r="7">
      <c r="A7" s="7" t="inlineStr">
        <is>
          <t>Warden E.K. Carlton (ref. Jul 2025)</t>
        </is>
      </c>
      <c r="B7" s="7" t="inlineStr">
        <is>
          <t>Warden</t>
        </is>
      </c>
      <c r="C7" s="7" t="inlineStr">
        <is>
          <t>FDC Miami</t>
        </is>
      </c>
      <c r="D7" s="7" t="inlineStr">
        <is>
          <t>Federal — BOP</t>
        </is>
      </c>
      <c r="E7" s="7" t="inlineStr">
        <is>
          <t>Facility Leadership</t>
        </is>
      </c>
      <c r="F7" s="7" t="inlineStr">
        <is>
          <t>Tier 1</t>
        </is>
      </c>
      <c r="G7" s="7" t="inlineStr">
        <is>
          <t>Medium</t>
        </is>
      </c>
      <c r="H7" s="7" t="inlineStr">
        <is>
          <t>Miami, FL</t>
        </is>
      </c>
      <c r="I7" s="7" t="inlineStr">
        <is>
          <t>BOP.gov / Public Records</t>
        </is>
      </c>
      <c r="J7" s="7" t="inlineStr">
        <is>
          <t>No</t>
        </is>
      </c>
      <c r="K7" s="7" t="inlineStr">
        <is>
          <t>Yes</t>
        </is>
      </c>
      <c r="L7" s="7" t="inlineStr">
        <is>
          <t>Not Started</t>
        </is>
      </c>
      <c r="M7" s="7" t="inlineStr"/>
      <c r="N7" s="7" t="inlineStr">
        <is>
          <t>Call institution main number</t>
        </is>
      </c>
      <c r="O7" s="7" t="inlineStr">
        <is>
          <t>Unknown — verify via SAM.gov</t>
        </is>
      </c>
      <c r="P7" s="7" t="inlineStr">
        <is>
          <t>Facility head. ~1512 inmates. Administrative security. Houses male and female inmates; downtown Miami location</t>
        </is>
      </c>
    </row>
    <row r="8">
      <c r="A8" s="10" t="inlineStr">
        <is>
          <t>[Food Service Administrator — Call]</t>
        </is>
      </c>
      <c r="B8" s="10" t="inlineStr">
        <is>
          <t>Food Service Administrator</t>
        </is>
      </c>
      <c r="C8" s="10" t="inlineStr">
        <is>
          <t>USP Coleman I</t>
        </is>
      </c>
      <c r="D8" s="10" t="inlineStr">
        <is>
          <t>Federal — BOP</t>
        </is>
      </c>
      <c r="E8" s="10" t="inlineStr">
        <is>
          <t>Food Service</t>
        </is>
      </c>
      <c r="F8" s="10" t="inlineStr">
        <is>
          <t>Tier 1</t>
        </is>
      </c>
      <c r="G8" s="10" t="inlineStr">
        <is>
          <t>High</t>
        </is>
      </c>
      <c r="H8" s="10" t="inlineStr">
        <is>
          <t>Coleman, FL</t>
        </is>
      </c>
      <c r="I8" s="10" t="inlineStr">
        <is>
          <t>BOP.gov</t>
        </is>
      </c>
      <c r="J8" s="10" t="inlineStr">
        <is>
          <t>No</t>
        </is>
      </c>
      <c r="K8" s="10" t="inlineStr">
        <is>
          <t>Yes</t>
        </is>
      </c>
      <c r="L8" s="10" t="inlineStr">
        <is>
          <t>Not Started</t>
        </is>
      </c>
      <c r="M8" s="10" t="inlineStr"/>
      <c r="N8" s="10" t="inlineStr">
        <is>
          <t>Call institution, ask for Food Service Administrator</t>
        </is>
      </c>
      <c r="O8" s="10" t="inlineStr">
        <is>
          <t>Unknown — verify via SAM.gov</t>
        </is>
      </c>
      <c r="P8" s="10" t="inlineStr">
        <is>
          <t>~1379 inmates. High security. Part of FCC Coleman complex; houses male inmates</t>
        </is>
      </c>
    </row>
    <row r="9">
      <c r="A9" s="7" t="inlineStr">
        <is>
          <t>Warden Carlton (referenced Dec 2025)</t>
        </is>
      </c>
      <c r="B9" s="7" t="inlineStr">
        <is>
          <t>Warden</t>
        </is>
      </c>
      <c r="C9" s="7" t="inlineStr">
        <is>
          <t>USP Coleman I</t>
        </is>
      </c>
      <c r="D9" s="7" t="inlineStr">
        <is>
          <t>Federal — BOP</t>
        </is>
      </c>
      <c r="E9" s="7" t="inlineStr">
        <is>
          <t>Facility Leadership</t>
        </is>
      </c>
      <c r="F9" s="7" t="inlineStr">
        <is>
          <t>Tier 1</t>
        </is>
      </c>
      <c r="G9" s="7" t="inlineStr">
        <is>
          <t>Medium</t>
        </is>
      </c>
      <c r="H9" s="7" t="inlineStr">
        <is>
          <t>Coleman, FL</t>
        </is>
      </c>
      <c r="I9" s="7" t="inlineStr">
        <is>
          <t>BOP.gov / Public Records</t>
        </is>
      </c>
      <c r="J9" s="7" t="inlineStr">
        <is>
          <t>No</t>
        </is>
      </c>
      <c r="K9" s="7" t="inlineStr">
        <is>
          <t>Yes</t>
        </is>
      </c>
      <c r="L9" s="7" t="inlineStr">
        <is>
          <t>Not Started</t>
        </is>
      </c>
      <c r="M9" s="7" t="inlineStr"/>
      <c r="N9" s="7" t="inlineStr">
        <is>
          <t>Call institution main number</t>
        </is>
      </c>
      <c r="O9" s="7" t="inlineStr">
        <is>
          <t>Unknown — verify via SAM.gov</t>
        </is>
      </c>
      <c r="P9" s="7" t="inlineStr">
        <is>
          <t>Facility head. ~1379 inmates. High security. Part of FCC Coleman complex; houses male inmates</t>
        </is>
      </c>
    </row>
    <row r="10">
      <c r="A10" s="10" t="inlineStr">
        <is>
          <t>[TBD — Call Facility]</t>
        </is>
      </c>
      <c r="B10" s="10" t="inlineStr">
        <is>
          <t>Food Service / Purchasing Contact</t>
        </is>
      </c>
      <c r="C10" s="10" t="inlineStr">
        <is>
          <t>Duval County — Jacksonville Sheriff's Office (JSO)</t>
        </is>
      </c>
      <c r="D10" s="10" t="inlineStr">
        <is>
          <t>Local — County Jail</t>
        </is>
      </c>
      <c r="E10" s="10" t="inlineStr">
        <is>
          <t>Food Service / Purchasing</t>
        </is>
      </c>
      <c r="F10" s="10" t="inlineStr">
        <is>
          <t>Tier 1</t>
        </is>
      </c>
      <c r="G10" s="10" t="inlineStr">
        <is>
          <t>High</t>
        </is>
      </c>
      <c r="H10" s="10" t="inlineStr">
        <is>
          <t>Duval County, FL</t>
        </is>
      </c>
      <c r="I10" s="10" t="inlineStr">
        <is>
          <t>County Website / Sheriff Office</t>
        </is>
      </c>
      <c r="J10" s="10" t="inlineStr">
        <is>
          <t>No</t>
        </is>
      </c>
      <c r="K10" s="10" t="inlineStr">
        <is>
          <t>Yes</t>
        </is>
      </c>
      <c r="L10" s="10" t="inlineStr">
        <is>
          <t>Not Started</t>
        </is>
      </c>
      <c r="M10" s="10" t="inlineStr"/>
      <c r="N10" s="10" t="inlineStr">
        <is>
          <t>Call to determine food service model (self-op vs contracted)</t>
        </is>
      </c>
      <c r="O10" s="10" t="inlineStr">
        <is>
          <t>Unknown</t>
        </is>
      </c>
      <c r="P10" s="10" t="inlineStr">
        <is>
          <t>~3588 daily inmates. Model: Unknown — Contact JSO Corrections at 904-630-7600.</t>
        </is>
      </c>
    </row>
    <row r="11">
      <c r="A11" s="7" t="inlineStr">
        <is>
          <t>[TBD — Call Facility]</t>
        </is>
      </c>
      <c r="B11" s="7" t="inlineStr">
        <is>
          <t>Food Service / Purchasing Contact</t>
        </is>
      </c>
      <c r="C11" s="7" t="inlineStr">
        <is>
          <t>Miami-Dade County — Miami-Dade Corrections &amp; Rehabilitation Department</t>
        </is>
      </c>
      <c r="D11" s="7" t="inlineStr">
        <is>
          <t>Local — County Jail</t>
        </is>
      </c>
      <c r="E11" s="7" t="inlineStr">
        <is>
          <t>Food Service / Purchasing</t>
        </is>
      </c>
      <c r="F11" s="7" t="inlineStr">
        <is>
          <t>Tier 1</t>
        </is>
      </c>
      <c r="G11" s="7" t="inlineStr">
        <is>
          <t>High</t>
        </is>
      </c>
      <c r="H11" s="7" t="inlineStr">
        <is>
          <t>Miami-Dade County, FL</t>
        </is>
      </c>
      <c r="I11" s="7" t="inlineStr">
        <is>
          <t>County Website / Sheriff Office</t>
        </is>
      </c>
      <c r="J11" s="7" t="inlineStr">
        <is>
          <t>Yes</t>
        </is>
      </c>
      <c r="K11" s="7" t="inlineStr">
        <is>
          <t>Yes</t>
        </is>
      </c>
      <c r="L11" s="7" t="inlineStr">
        <is>
          <t>Not Started</t>
        </is>
      </c>
      <c r="M11" s="7" t="inlineStr"/>
      <c r="N11" s="7" t="inlineStr">
        <is>
          <t>PRIORITY: Self-operated = direct buyer. Call food service dept.</t>
        </is>
      </c>
      <c r="O11" s="7" t="inlineStr">
        <is>
          <t>Self-Operated</t>
        </is>
      </c>
      <c r="P11" s="7" t="inlineStr">
        <is>
          <t>~4112 daily inmates. Model: Self-Operated.</t>
        </is>
      </c>
    </row>
    <row r="12">
      <c r="A12" s="10" t="inlineStr">
        <is>
          <t>[TBD — Call Facility]</t>
        </is>
      </c>
      <c r="B12" s="10" t="inlineStr">
        <is>
          <t>Food Service / Purchasing Contact</t>
        </is>
      </c>
      <c r="C12" s="10" t="inlineStr">
        <is>
          <t>Orange County — Orange County Corrections Department</t>
        </is>
      </c>
      <c r="D12" s="10" t="inlineStr">
        <is>
          <t>Local — County Jail</t>
        </is>
      </c>
      <c r="E12" s="10" t="inlineStr">
        <is>
          <t>Food Service / Purchasing</t>
        </is>
      </c>
      <c r="F12" s="10" t="inlineStr">
        <is>
          <t>Tier 1</t>
        </is>
      </c>
      <c r="G12" s="10" t="inlineStr">
        <is>
          <t>High</t>
        </is>
      </c>
      <c r="H12" s="10" t="inlineStr">
        <is>
          <t>Orange County, FL</t>
        </is>
      </c>
      <c r="I12" s="10" t="inlineStr">
        <is>
          <t>County Website / Sheriff Office</t>
        </is>
      </c>
      <c r="J12" s="10" t="inlineStr">
        <is>
          <t>Yes</t>
        </is>
      </c>
      <c r="K12" s="10" t="inlineStr">
        <is>
          <t>Yes</t>
        </is>
      </c>
      <c r="L12" s="10" t="inlineStr">
        <is>
          <t>Not Started</t>
        </is>
      </c>
      <c r="M12" s="10" t="inlineStr"/>
      <c r="N12" s="10" t="inlineStr">
        <is>
          <t>Monitor for rebid. Current vendor: Unknown</t>
        </is>
      </c>
      <c r="O12" s="10" t="inlineStr">
        <is>
          <t>Unknown</t>
        </is>
      </c>
      <c r="P12" s="10" t="inlineStr">
        <is>
          <t>~3111 daily inmates. Model: Unknown — Likely Contracted.</t>
        </is>
      </c>
    </row>
    <row r="13">
      <c r="A13" s="7" t="inlineStr">
        <is>
          <t>[TBD — Call Facility]</t>
        </is>
      </c>
      <c r="B13" s="7" t="inlineStr">
        <is>
          <t>Food Service / Purchasing Contact</t>
        </is>
      </c>
      <c r="C13" s="7" t="inlineStr">
        <is>
          <t>Pinellas County — Pinellas County Sheriff's Office (PCSO)</t>
        </is>
      </c>
      <c r="D13" s="7" t="inlineStr">
        <is>
          <t>Local — County Jail</t>
        </is>
      </c>
      <c r="E13" s="7" t="inlineStr">
        <is>
          <t>Food Service / Purchasing</t>
        </is>
      </c>
      <c r="F13" s="7" t="inlineStr">
        <is>
          <t>Tier 1</t>
        </is>
      </c>
      <c r="G13" s="7" t="inlineStr">
        <is>
          <t>High</t>
        </is>
      </c>
      <c r="H13" s="7" t="inlineStr">
        <is>
          <t>Pinellas County, FL</t>
        </is>
      </c>
      <c r="I13" s="7" t="inlineStr">
        <is>
          <t>County Website / Sheriff Office</t>
        </is>
      </c>
      <c r="J13" s="7" t="inlineStr">
        <is>
          <t>No</t>
        </is>
      </c>
      <c r="K13" s="7" t="inlineStr">
        <is>
          <t>Yes</t>
        </is>
      </c>
      <c r="L13" s="7" t="inlineStr">
        <is>
          <t>Not Started</t>
        </is>
      </c>
      <c r="M13" s="7" t="inlineStr"/>
      <c r="N13" s="7" t="inlineStr">
        <is>
          <t>PRIORITY: Self-operated = direct buyer. Call food service dept.</t>
        </is>
      </c>
      <c r="O13" s="7" t="inlineStr">
        <is>
          <t>Self-Operated</t>
        </is>
      </c>
      <c r="P13" s="7" t="inlineStr">
        <is>
          <t>~3000 daily inmates. Model: Self-Operated.</t>
        </is>
      </c>
    </row>
    <row r="14">
      <c r="A14" s="10" t="inlineStr">
        <is>
          <t>[TBD — Call District]</t>
        </is>
      </c>
      <c r="B14" s="10" t="inlineStr">
        <is>
          <t>Executive Director - Food and Nutrition Services</t>
        </is>
      </c>
      <c r="C14" s="10" t="inlineStr">
        <is>
          <t>Broward County Public Schools</t>
        </is>
      </c>
      <c r="D14" s="10" t="inlineStr">
        <is>
          <t>Local — School District</t>
        </is>
      </c>
      <c r="E14" s="10" t="inlineStr">
        <is>
          <t>Food Service</t>
        </is>
      </c>
      <c r="F14" s="10" t="inlineStr">
        <is>
          <t>Tier 1</t>
        </is>
      </c>
      <c r="G14" s="10" t="inlineStr">
        <is>
          <t>High</t>
        </is>
      </c>
      <c r="H14" s="10" t="inlineStr">
        <is>
          <t>Broward County, FL</t>
        </is>
      </c>
      <c r="I14" s="10" t="inlineStr">
        <is>
          <t>District Website</t>
        </is>
      </c>
      <c r="J14" s="10" t="inlineStr">
        <is>
          <t>No</t>
        </is>
      </c>
      <c r="K14" s="10" t="inlineStr">
        <is>
          <t>Yes</t>
        </is>
      </c>
      <c r="L14" s="10" t="inlineStr">
        <is>
          <t>Not Started</t>
        </is>
      </c>
      <c r="M14" s="10" t="inlineStr"/>
      <c r="N14" s="10" t="inlineStr">
        <is>
          <t>Call department phone</t>
        </is>
      </c>
      <c r="O14" s="10" t="inlineStr">
        <is>
          <t>Unknown</t>
        </is>
      </c>
      <c r="P14" s="10" t="inlineStr">
        <is>
          <t>~260000 students; Call main line or check staff directory at browardschools.com; office at 7720 W Oakland Park Blvd Suite 204 Sunrise FL 33351</t>
        </is>
      </c>
    </row>
    <row r="15">
      <c r="A15" s="7" t="inlineStr">
        <is>
          <t>Jane Zentko</t>
        </is>
      </c>
      <c r="B15" s="7" t="inlineStr">
        <is>
          <t>Director - Contract Compliance Food Service</t>
        </is>
      </c>
      <c r="C15" s="7" t="inlineStr">
        <is>
          <t>Duval County Public Schools</t>
        </is>
      </c>
      <c r="D15" s="7" t="inlineStr">
        <is>
          <t>Local — School District</t>
        </is>
      </c>
      <c r="E15" s="7" t="inlineStr">
        <is>
          <t>Food Service</t>
        </is>
      </c>
      <c r="F15" s="7" t="inlineStr">
        <is>
          <t>Tier 1</t>
        </is>
      </c>
      <c r="G15" s="7" t="inlineStr">
        <is>
          <t>High</t>
        </is>
      </c>
      <c r="H15" s="7" t="inlineStr">
        <is>
          <t>Duval County, FL</t>
        </is>
      </c>
      <c r="I15" s="7" t="inlineStr">
        <is>
          <t>District Website</t>
        </is>
      </c>
      <c r="J15" s="7" t="inlineStr">
        <is>
          <t>No</t>
        </is>
      </c>
      <c r="K15" s="7" t="inlineStr">
        <is>
          <t>Yes</t>
        </is>
      </c>
      <c r="L15" s="7" t="inlineStr">
        <is>
          <t>Not Started</t>
        </is>
      </c>
      <c r="M15" s="7" t="inlineStr"/>
      <c r="N15" s="7" t="inlineStr">
        <is>
          <t>Call department phone</t>
        </is>
      </c>
      <c r="O15" s="7" t="inlineStr">
        <is>
          <t>Chartwells (Compass)</t>
        </is>
      </c>
      <c r="P15" s="7" t="inlineStr">
        <is>
          <t>~130000 students; Food service operated by Chartwells (Compass Group)</t>
        </is>
      </c>
    </row>
    <row r="16">
      <c r="A16" s="10" t="inlineStr">
        <is>
          <t>Shani Hall</t>
        </is>
      </c>
      <c r="B16" s="10" t="inlineStr">
        <is>
          <t>General Manager - Student Nutrition Services</t>
        </is>
      </c>
      <c r="C16" s="10" t="inlineStr">
        <is>
          <t>Hillsborough County Public Schools</t>
        </is>
      </c>
      <c r="D16" s="10" t="inlineStr">
        <is>
          <t>Local — School District</t>
        </is>
      </c>
      <c r="E16" s="10" t="inlineStr">
        <is>
          <t>Food Service</t>
        </is>
      </c>
      <c r="F16" s="10" t="inlineStr">
        <is>
          <t>Tier 1</t>
        </is>
      </c>
      <c r="G16" s="10" t="inlineStr">
        <is>
          <t>High</t>
        </is>
      </c>
      <c r="H16" s="10" t="inlineStr">
        <is>
          <t>Hillsborough County, FL</t>
        </is>
      </c>
      <c r="I16" s="10" t="inlineStr">
        <is>
          <t>District Website</t>
        </is>
      </c>
      <c r="J16" s="10" t="inlineStr">
        <is>
          <t>No</t>
        </is>
      </c>
      <c r="K16" s="10" t="inlineStr">
        <is>
          <t>Yes</t>
        </is>
      </c>
      <c r="L16" s="10" t="inlineStr">
        <is>
          <t>Not Started</t>
        </is>
      </c>
      <c r="M16" s="10" t="inlineStr"/>
      <c r="N16" s="10" t="inlineStr">
        <is>
          <t>Call department phone</t>
        </is>
      </c>
      <c r="O16" s="10" t="inlineStr">
        <is>
          <t>Unknown</t>
        </is>
      </c>
      <c r="P16" s="10" t="inlineStr">
        <is>
          <t>~230000 students; Center for Nutrition &amp; Culinary Services at 9014 Brittany Way Tampa FL 33619</t>
        </is>
      </c>
    </row>
    <row r="17">
      <c r="A17" s="7" t="inlineStr">
        <is>
          <t>Kandy Messenger SNS</t>
        </is>
      </c>
      <c r="B17" s="7" t="inlineStr">
        <is>
          <t>Food Service Director</t>
        </is>
      </c>
      <c r="C17" s="7" t="inlineStr">
        <is>
          <t>Lee County School District</t>
        </is>
      </c>
      <c r="D17" s="7" t="inlineStr">
        <is>
          <t>Local — School District</t>
        </is>
      </c>
      <c r="E17" s="7" t="inlineStr">
        <is>
          <t>Food Service</t>
        </is>
      </c>
      <c r="F17" s="7" t="inlineStr">
        <is>
          <t>Tier 1</t>
        </is>
      </c>
      <c r="G17" s="7" t="inlineStr">
        <is>
          <t>High</t>
        </is>
      </c>
      <c r="H17" s="7" t="inlineStr">
        <is>
          <t>Lee County, FL</t>
        </is>
      </c>
      <c r="I17" s="7" t="inlineStr">
        <is>
          <t>District Website</t>
        </is>
      </c>
      <c r="J17" s="7" t="inlineStr">
        <is>
          <t>No</t>
        </is>
      </c>
      <c r="K17" s="7" t="inlineStr">
        <is>
          <t>Yes</t>
        </is>
      </c>
      <c r="L17" s="7" t="inlineStr">
        <is>
          <t>Not Started</t>
        </is>
      </c>
      <c r="M17" s="7" t="inlineStr"/>
      <c r="N17" s="7" t="inlineStr">
        <is>
          <t>Call department phone</t>
        </is>
      </c>
      <c r="O17" s="7" t="inlineStr">
        <is>
          <t>Unknown</t>
        </is>
      </c>
      <c r="P17" s="7" t="inlineStr">
        <is>
          <t>~100000 students; Office at 2855 Colonial Blvd Fort Myers FL 33966</t>
        </is>
      </c>
    </row>
    <row r="18">
      <c r="A18" s="10" t="inlineStr">
        <is>
          <t>Angie Kasselakis</t>
        </is>
      </c>
      <c r="B18" s="10" t="inlineStr">
        <is>
          <t>Administrative Officer - Department of Food and Nutrition</t>
        </is>
      </c>
      <c r="C18" s="10" t="inlineStr">
        <is>
          <t>Miami-Dade County Public Schools</t>
        </is>
      </c>
      <c r="D18" s="10" t="inlineStr">
        <is>
          <t>Local — School District</t>
        </is>
      </c>
      <c r="E18" s="10" t="inlineStr">
        <is>
          <t>Food Service</t>
        </is>
      </c>
      <c r="F18" s="10" t="inlineStr">
        <is>
          <t>Tier 1</t>
        </is>
      </c>
      <c r="G18" s="10" t="inlineStr">
        <is>
          <t>High</t>
        </is>
      </c>
      <c r="H18" s="10" t="inlineStr">
        <is>
          <t>Miami-Dade County, FL</t>
        </is>
      </c>
      <c r="I18" s="10" t="inlineStr">
        <is>
          <t>District Website</t>
        </is>
      </c>
      <c r="J18" s="10" t="inlineStr">
        <is>
          <t>Yes</t>
        </is>
      </c>
      <c r="K18" s="10" t="inlineStr">
        <is>
          <t>Yes</t>
        </is>
      </c>
      <c r="L18" s="10" t="inlineStr">
        <is>
          <t>Not Started</t>
        </is>
      </c>
      <c r="M18" s="10" t="inlineStr"/>
      <c r="N18" s="10" t="inlineStr">
        <is>
          <t>Schedule introductory call</t>
        </is>
      </c>
      <c r="O18" s="10" t="inlineStr">
        <is>
          <t>Unknown</t>
        </is>
      </c>
      <c r="P18" s="10" t="inlineStr">
        <is>
          <t>~340000 students</t>
        </is>
      </c>
    </row>
    <row r="19">
      <c r="A19" s="7" t="inlineStr">
        <is>
          <t>Mark Watson</t>
        </is>
      </c>
      <c r="B19" s="7" t="inlineStr">
        <is>
          <t>Senior Director - Food and Nutrition Services</t>
        </is>
      </c>
      <c r="C19" s="7" t="inlineStr">
        <is>
          <t>Orange County Public Schools</t>
        </is>
      </c>
      <c r="D19" s="7" t="inlineStr">
        <is>
          <t>Local — School District</t>
        </is>
      </c>
      <c r="E19" s="7" t="inlineStr">
        <is>
          <t>Food Service</t>
        </is>
      </c>
      <c r="F19" s="7" t="inlineStr">
        <is>
          <t>Tier 1</t>
        </is>
      </c>
      <c r="G19" s="7" t="inlineStr">
        <is>
          <t>High</t>
        </is>
      </c>
      <c r="H19" s="7" t="inlineStr">
        <is>
          <t>Orange County, FL</t>
        </is>
      </c>
      <c r="I19" s="7" t="inlineStr">
        <is>
          <t>District Website</t>
        </is>
      </c>
      <c r="J19" s="7" t="inlineStr">
        <is>
          <t>No</t>
        </is>
      </c>
      <c r="K19" s="7" t="inlineStr">
        <is>
          <t>Yes</t>
        </is>
      </c>
      <c r="L19" s="7" t="inlineStr">
        <is>
          <t>Not Started</t>
        </is>
      </c>
      <c r="M19" s="7" t="inlineStr"/>
      <c r="N19" s="7" t="inlineStr">
        <is>
          <t>Call department phone</t>
        </is>
      </c>
      <c r="O19" s="7" t="inlineStr">
        <is>
          <t>Unknown</t>
        </is>
      </c>
      <c r="P19" s="7" t="inlineStr">
        <is>
          <t>~215000 students</t>
        </is>
      </c>
    </row>
    <row r="20">
      <c r="A20" s="10" t="inlineStr">
        <is>
          <t>Allison Monbleau</t>
        </is>
      </c>
      <c r="B20" s="10" t="inlineStr">
        <is>
          <t>General Manager - School Food Service</t>
        </is>
      </c>
      <c r="C20" s="10" t="inlineStr">
        <is>
          <t>Palm Beach County Public Schools</t>
        </is>
      </c>
      <c r="D20" s="10" t="inlineStr">
        <is>
          <t>Local — School District</t>
        </is>
      </c>
      <c r="E20" s="10" t="inlineStr">
        <is>
          <t>Food Service</t>
        </is>
      </c>
      <c r="F20" s="10" t="inlineStr">
        <is>
          <t>Tier 1</t>
        </is>
      </c>
      <c r="G20" s="10" t="inlineStr">
        <is>
          <t>High</t>
        </is>
      </c>
      <c r="H20" s="10" t="inlineStr">
        <is>
          <t>Palm Beach County, FL</t>
        </is>
      </c>
      <c r="I20" s="10" t="inlineStr">
        <is>
          <t>District Website</t>
        </is>
      </c>
      <c r="J20" s="10" t="inlineStr">
        <is>
          <t>Yes</t>
        </is>
      </c>
      <c r="K20" s="10" t="inlineStr">
        <is>
          <t>Yes</t>
        </is>
      </c>
      <c r="L20" s="10" t="inlineStr">
        <is>
          <t>Not Started</t>
        </is>
      </c>
      <c r="M20" s="10" t="inlineStr"/>
      <c r="N20" s="10" t="inlineStr">
        <is>
          <t>Schedule introductory call</t>
        </is>
      </c>
      <c r="O20" s="10" t="inlineStr">
        <is>
          <t>Unknown</t>
        </is>
      </c>
      <c r="P20" s="10" t="inlineStr">
        <is>
          <t>~200000 students; Office at 3661 Interstate Park Rd North Suite 100 West Palm Beach FL 33404</t>
        </is>
      </c>
    </row>
    <row r="21">
      <c r="A21" s="7" t="inlineStr">
        <is>
          <t>Dustin Walker</t>
        </is>
      </c>
      <c r="B21" s="7" t="inlineStr">
        <is>
          <t>Director - Food and Nutrition</t>
        </is>
      </c>
      <c r="C21" s="7" t="inlineStr">
        <is>
          <t>Pinellas County Schools</t>
        </is>
      </c>
      <c r="D21" s="7" t="inlineStr">
        <is>
          <t>Local — School District</t>
        </is>
      </c>
      <c r="E21" s="7" t="inlineStr">
        <is>
          <t>Food Service</t>
        </is>
      </c>
      <c r="F21" s="7" t="inlineStr">
        <is>
          <t>Tier 1</t>
        </is>
      </c>
      <c r="G21" s="7" t="inlineStr">
        <is>
          <t>High</t>
        </is>
      </c>
      <c r="H21" s="7" t="inlineStr">
        <is>
          <t>Pinellas County, FL</t>
        </is>
      </c>
      <c r="I21" s="7" t="inlineStr">
        <is>
          <t>District Website</t>
        </is>
      </c>
      <c r="J21" s="7" t="inlineStr">
        <is>
          <t>No</t>
        </is>
      </c>
      <c r="K21" s="7" t="inlineStr">
        <is>
          <t>Yes</t>
        </is>
      </c>
      <c r="L21" s="7" t="inlineStr">
        <is>
          <t>Not Started</t>
        </is>
      </c>
      <c r="M21" s="7" t="inlineStr"/>
      <c r="N21" s="7" t="inlineStr">
        <is>
          <t>Call department phone</t>
        </is>
      </c>
      <c r="O21" s="7" t="inlineStr">
        <is>
          <t>Unknown</t>
        </is>
      </c>
      <c r="P21" s="7" t="inlineStr">
        <is>
          <t>~105000 students</t>
        </is>
      </c>
    </row>
    <row r="22">
      <c r="A22" s="10" t="inlineStr">
        <is>
          <t>Mary Butler</t>
        </is>
      </c>
      <c r="B22" s="10" t="inlineStr">
        <is>
          <t>Director - School Nutrition Services</t>
        </is>
      </c>
      <c r="C22" s="10" t="inlineStr">
        <is>
          <t>Polk County Public Schools</t>
        </is>
      </c>
      <c r="D22" s="10" t="inlineStr">
        <is>
          <t>Local — School District</t>
        </is>
      </c>
      <c r="E22" s="10" t="inlineStr">
        <is>
          <t>Food Service</t>
        </is>
      </c>
      <c r="F22" s="10" t="inlineStr">
        <is>
          <t>Tier 1</t>
        </is>
      </c>
      <c r="G22" s="10" t="inlineStr">
        <is>
          <t>High</t>
        </is>
      </c>
      <c r="H22" s="10" t="inlineStr">
        <is>
          <t>Polk County, FL</t>
        </is>
      </c>
      <c r="I22" s="10" t="inlineStr">
        <is>
          <t>District Website</t>
        </is>
      </c>
      <c r="J22" s="10" t="inlineStr">
        <is>
          <t>No</t>
        </is>
      </c>
      <c r="K22" s="10" t="inlineStr">
        <is>
          <t>Yes</t>
        </is>
      </c>
      <c r="L22" s="10" t="inlineStr">
        <is>
          <t>Not Started</t>
        </is>
      </c>
      <c r="M22" s="10" t="inlineStr"/>
      <c r="N22" s="10" t="inlineStr">
        <is>
          <t>Call department phone</t>
        </is>
      </c>
      <c r="O22" s="10" t="inlineStr">
        <is>
          <t>Unknown</t>
        </is>
      </c>
      <c r="P22" s="10" t="inlineStr">
        <is>
          <t>~115000 students; Main district line; nutrition dept line not published</t>
        </is>
      </c>
    </row>
    <row r="23">
      <c r="A23" s="7" t="inlineStr">
        <is>
          <t>[Food Service Administrator — Call]</t>
        </is>
      </c>
      <c r="B23" s="7" t="inlineStr">
        <is>
          <t>Food Service Administrator</t>
        </is>
      </c>
      <c r="C23" s="7" t="inlineStr">
        <is>
          <t>FCI Miami</t>
        </is>
      </c>
      <c r="D23" s="7" t="inlineStr">
        <is>
          <t>Federal — BOP</t>
        </is>
      </c>
      <c r="E23" s="7" t="inlineStr">
        <is>
          <t>Food Service</t>
        </is>
      </c>
      <c r="F23" s="7" t="inlineStr">
        <is>
          <t>Tier 2</t>
        </is>
      </c>
      <c r="G23" s="7" t="inlineStr">
        <is>
          <t>High</t>
        </is>
      </c>
      <c r="H23" s="7" t="inlineStr">
        <is>
          <t>Miami, FL</t>
        </is>
      </c>
      <c r="I23" s="7" t="inlineStr">
        <is>
          <t>BOP.gov</t>
        </is>
      </c>
      <c r="J23" s="7" t="inlineStr">
        <is>
          <t>No</t>
        </is>
      </c>
      <c r="K23" s="7" t="inlineStr">
        <is>
          <t>Yes</t>
        </is>
      </c>
      <c r="L23" s="7" t="inlineStr">
        <is>
          <t>Not Started</t>
        </is>
      </c>
      <c r="M23" s="7" t="inlineStr"/>
      <c r="N23" s="7" t="inlineStr">
        <is>
          <t>Call institution, ask for Food Service Administrator</t>
        </is>
      </c>
      <c r="O23" s="7" t="inlineStr">
        <is>
          <t>Unknown — verify via SAM.gov</t>
        </is>
      </c>
      <c r="P23" s="7" t="inlineStr">
        <is>
          <t>~855 inmates. Low security. 680 at FCI + 175 at camp; houses male inmates</t>
        </is>
      </c>
    </row>
    <row r="24">
      <c r="A24" s="10" t="inlineStr">
        <is>
          <t>Warden Grant Huett (ref. Oct 2025)</t>
        </is>
      </c>
      <c r="B24" s="10" t="inlineStr">
        <is>
          <t>Warden</t>
        </is>
      </c>
      <c r="C24" s="10" t="inlineStr">
        <is>
          <t>FCI Miami</t>
        </is>
      </c>
      <c r="D24" s="10" t="inlineStr">
        <is>
          <t>Federal — BOP</t>
        </is>
      </c>
      <c r="E24" s="10" t="inlineStr">
        <is>
          <t>Facility Leadership</t>
        </is>
      </c>
      <c r="F24" s="10" t="inlineStr">
        <is>
          <t>Tier 2</t>
        </is>
      </c>
      <c r="G24" s="10" t="inlineStr">
        <is>
          <t>Medium</t>
        </is>
      </c>
      <c r="H24" s="10" t="inlineStr">
        <is>
          <t>Miami, FL</t>
        </is>
      </c>
      <c r="I24" s="10" t="inlineStr">
        <is>
          <t>BOP.gov / Public Records</t>
        </is>
      </c>
      <c r="J24" s="10" t="inlineStr">
        <is>
          <t>No</t>
        </is>
      </c>
      <c r="K24" s="10" t="inlineStr">
        <is>
          <t>Yes</t>
        </is>
      </c>
      <c r="L24" s="10" t="inlineStr">
        <is>
          <t>Not Started</t>
        </is>
      </c>
      <c r="M24" s="10" t="inlineStr"/>
      <c r="N24" s="10" t="inlineStr">
        <is>
          <t>Call institution main number</t>
        </is>
      </c>
      <c r="O24" s="10" t="inlineStr">
        <is>
          <t>Unknown — verify via SAM.gov</t>
        </is>
      </c>
      <c r="P24" s="10" t="inlineStr">
        <is>
          <t>Facility head. ~855 inmates. Low security. 680 at FCI + 175 at camp; houses male inmates</t>
        </is>
      </c>
    </row>
    <row r="25">
      <c r="A25" s="7" t="inlineStr">
        <is>
          <t>[Food Service Administrator — Call]</t>
        </is>
      </c>
      <c r="B25" s="7" t="inlineStr">
        <is>
          <t>Food Service Administrator</t>
        </is>
      </c>
      <c r="C25" s="7" t="inlineStr">
        <is>
          <t>FCI Tallahassee</t>
        </is>
      </c>
      <c r="D25" s="7" t="inlineStr">
        <is>
          <t>Federal — BOP</t>
        </is>
      </c>
      <c r="E25" s="7" t="inlineStr">
        <is>
          <t>Food Service</t>
        </is>
      </c>
      <c r="F25" s="7" t="inlineStr">
        <is>
          <t>Tier 2</t>
        </is>
      </c>
      <c r="G25" s="7" t="inlineStr">
        <is>
          <t>High</t>
        </is>
      </c>
      <c r="H25" s="7" t="inlineStr">
        <is>
          <t>Tallahassee, FL</t>
        </is>
      </c>
      <c r="I25" s="7" t="inlineStr">
        <is>
          <t>BOP.gov</t>
        </is>
      </c>
      <c r="J25" s="7" t="inlineStr">
        <is>
          <t>No</t>
        </is>
      </c>
      <c r="K25" s="7" t="inlineStr">
        <is>
          <t>Yes</t>
        </is>
      </c>
      <c r="L25" s="7" t="inlineStr">
        <is>
          <t>Not Started</t>
        </is>
      </c>
      <c r="M25" s="7" t="inlineStr"/>
      <c r="N25" s="7" t="inlineStr">
        <is>
          <t>Call institution, ask for Food Service Administrator</t>
        </is>
      </c>
      <c r="O25" s="7" t="inlineStr">
        <is>
          <t>Unknown — verify via SAM.gov</t>
        </is>
      </c>
      <c r="P25" s="7" t="inlineStr">
        <is>
          <t>~755 inmates. Low security. Houses female inmates; built 1938; 258 staff</t>
        </is>
      </c>
    </row>
    <row r="26">
      <c r="A26" s="10" t="inlineStr">
        <is>
          <t>Warden Erica Strong (ref. 2025)</t>
        </is>
      </c>
      <c r="B26" s="10" t="inlineStr">
        <is>
          <t>Warden</t>
        </is>
      </c>
      <c r="C26" s="10" t="inlineStr">
        <is>
          <t>FCI Tallahassee</t>
        </is>
      </c>
      <c r="D26" s="10" t="inlineStr">
        <is>
          <t>Federal — BOP</t>
        </is>
      </c>
      <c r="E26" s="10" t="inlineStr">
        <is>
          <t>Facility Leadership</t>
        </is>
      </c>
      <c r="F26" s="10" t="inlineStr">
        <is>
          <t>Tier 2</t>
        </is>
      </c>
      <c r="G26" s="10" t="inlineStr">
        <is>
          <t>Medium</t>
        </is>
      </c>
      <c r="H26" s="10" t="inlineStr">
        <is>
          <t>Tallahassee, FL</t>
        </is>
      </c>
      <c r="I26" s="10" t="inlineStr">
        <is>
          <t>BOP.gov / Public Records</t>
        </is>
      </c>
      <c r="J26" s="10" t="inlineStr">
        <is>
          <t>No</t>
        </is>
      </c>
      <c r="K26" s="10" t="inlineStr">
        <is>
          <t>Yes</t>
        </is>
      </c>
      <c r="L26" s="10" t="inlineStr">
        <is>
          <t>Not Started</t>
        </is>
      </c>
      <c r="M26" s="10" t="inlineStr"/>
      <c r="N26" s="10" t="inlineStr">
        <is>
          <t>Call institution main number</t>
        </is>
      </c>
      <c r="O26" s="10" t="inlineStr">
        <is>
          <t>Unknown — verify via SAM.gov</t>
        </is>
      </c>
      <c r="P26" s="10" t="inlineStr">
        <is>
          <t>Facility head. ~755 inmates. Low security. Houses female inmates; built 1938; 258 staff</t>
        </is>
      </c>
    </row>
    <row r="27">
      <c r="A27" s="7" t="inlineStr">
        <is>
          <t>[Food Service Administrator — Call]</t>
        </is>
      </c>
      <c r="B27" s="7" t="inlineStr">
        <is>
          <t>Food Service Administrator</t>
        </is>
      </c>
      <c r="C27" s="7" t="inlineStr">
        <is>
          <t>FPC Pensacola</t>
        </is>
      </c>
      <c r="D27" s="7" t="inlineStr">
        <is>
          <t>Federal — BOP</t>
        </is>
      </c>
      <c r="E27" s="7" t="inlineStr">
        <is>
          <t>Food Service</t>
        </is>
      </c>
      <c r="F27" s="7" t="inlineStr">
        <is>
          <t>Tier 2</t>
        </is>
      </c>
      <c r="G27" s="7" t="inlineStr">
        <is>
          <t>High</t>
        </is>
      </c>
      <c r="H27" s="7" t="inlineStr">
        <is>
          <t>Pensacola, FL</t>
        </is>
      </c>
      <c r="I27" s="7" t="inlineStr">
        <is>
          <t>BOP.gov</t>
        </is>
      </c>
      <c r="J27" s="7" t="inlineStr">
        <is>
          <t>No</t>
        </is>
      </c>
      <c r="K27" s="7" t="inlineStr">
        <is>
          <t>Yes</t>
        </is>
      </c>
      <c r="L27" s="7" t="inlineStr">
        <is>
          <t>Not Started</t>
        </is>
      </c>
      <c r="M27" s="7" t="inlineStr"/>
      <c r="N27" s="7" t="inlineStr">
        <is>
          <t>Call institution, ask for Food Service Administrator</t>
        </is>
      </c>
      <c r="O27" s="7" t="inlineStr">
        <is>
          <t>Unknown — verify via SAM.gov</t>
        </is>
      </c>
      <c r="P27" s="7" t="inlineStr">
        <is>
          <t>~699 inmates. Minimum security. Houses male inmates; located on Saufley Field (NAS Pensacola)</t>
        </is>
      </c>
    </row>
    <row r="28">
      <c r="A28" s="10" t="inlineStr">
        <is>
          <t>Warden William Woods</t>
        </is>
      </c>
      <c r="B28" s="10" t="inlineStr">
        <is>
          <t>Warden</t>
        </is>
      </c>
      <c r="C28" s="10" t="inlineStr">
        <is>
          <t>FPC Pensacola</t>
        </is>
      </c>
      <c r="D28" s="10" t="inlineStr">
        <is>
          <t>Federal — BOP</t>
        </is>
      </c>
      <c r="E28" s="10" t="inlineStr">
        <is>
          <t>Facility Leadership</t>
        </is>
      </c>
      <c r="F28" s="10" t="inlineStr">
        <is>
          <t>Tier 2</t>
        </is>
      </c>
      <c r="G28" s="10" t="inlineStr">
        <is>
          <t>Medium</t>
        </is>
      </c>
      <c r="H28" s="10" t="inlineStr">
        <is>
          <t>Pensacola, FL</t>
        </is>
      </c>
      <c r="I28" s="10" t="inlineStr">
        <is>
          <t>BOP.gov / Public Records</t>
        </is>
      </c>
      <c r="J28" s="10" t="inlineStr">
        <is>
          <t>No</t>
        </is>
      </c>
      <c r="K28" s="10" t="inlineStr">
        <is>
          <t>Yes</t>
        </is>
      </c>
      <c r="L28" s="10" t="inlineStr">
        <is>
          <t>Not Started</t>
        </is>
      </c>
      <c r="M28" s="10" t="inlineStr"/>
      <c r="N28" s="10" t="inlineStr">
        <is>
          <t>Call institution main number</t>
        </is>
      </c>
      <c r="O28" s="10" t="inlineStr">
        <is>
          <t>Unknown — verify via SAM.gov</t>
        </is>
      </c>
      <c r="P28" s="10" t="inlineStr">
        <is>
          <t>Facility head. ~699 inmates. Minimum security. Houses male inmates; located on Saufley Field (NAS Pensacola)</t>
        </is>
      </c>
    </row>
    <row r="29">
      <c r="A29" s="7" t="inlineStr">
        <is>
          <t>[Food Service Administrator — Call]</t>
        </is>
      </c>
      <c r="B29" s="7" t="inlineStr">
        <is>
          <t>Food Service Administrator</t>
        </is>
      </c>
      <c r="C29" s="7" t="inlineStr">
        <is>
          <t>USP Coleman II</t>
        </is>
      </c>
      <c r="D29" s="7" t="inlineStr">
        <is>
          <t>Federal — BOP</t>
        </is>
      </c>
      <c r="E29" s="7" t="inlineStr">
        <is>
          <t>Food Service</t>
        </is>
      </c>
      <c r="F29" s="7" t="inlineStr">
        <is>
          <t>Tier 2</t>
        </is>
      </c>
      <c r="G29" s="7" t="inlineStr">
        <is>
          <t>High</t>
        </is>
      </c>
      <c r="H29" s="7" t="inlineStr">
        <is>
          <t>Sumterville, FL</t>
        </is>
      </c>
      <c r="I29" s="7" t="inlineStr">
        <is>
          <t>BOP.gov</t>
        </is>
      </c>
      <c r="J29" s="7" t="inlineStr">
        <is>
          <t>No</t>
        </is>
      </c>
      <c r="K29" s="7" t="inlineStr">
        <is>
          <t>Yes</t>
        </is>
      </c>
      <c r="L29" s="7" t="inlineStr">
        <is>
          <t>Not Started</t>
        </is>
      </c>
      <c r="M29" s="7" t="inlineStr"/>
      <c r="N29" s="7" t="inlineStr">
        <is>
          <t>Call institution, ask for Food Service Administrator</t>
        </is>
      </c>
      <c r="O29" s="7" t="inlineStr">
        <is>
          <t>Unknown — verify via SAM.gov</t>
        </is>
      </c>
      <c r="P29" s="7" t="inlineStr">
        <is>
          <t>~965 inmates. High security. Part of FCC Coleman complex; houses male inmates</t>
        </is>
      </c>
    </row>
    <row r="30">
      <c r="A30" s="10" t="inlineStr">
        <is>
          <t>Luana Harris (Store Director)</t>
        </is>
      </c>
      <c r="B30" s="10" t="inlineStr">
        <is>
          <t>Commissary Store Director</t>
        </is>
      </c>
      <c r="C30" s="10" t="inlineStr">
        <is>
          <t>Eglin Air Force Base</t>
        </is>
      </c>
      <c r="D30" s="10" t="inlineStr">
        <is>
          <t>Federal — Military (Air Force)</t>
        </is>
      </c>
      <c r="E30" s="10" t="inlineStr">
        <is>
          <t>Commissary</t>
        </is>
      </c>
      <c r="F30" s="10" t="inlineStr">
        <is>
          <t>Tier 2</t>
        </is>
      </c>
      <c r="G30" s="10" t="inlineStr">
        <is>
          <t>Medium</t>
        </is>
      </c>
      <c r="H30" s="10" t="inlineStr">
        <is>
          <t>Valparaiso, FL</t>
        </is>
      </c>
      <c r="I30" s="10" t="inlineStr">
        <is>
          <t>DeCA / Installation Directory</t>
        </is>
      </c>
      <c r="J30" s="10" t="inlineStr">
        <is>
          <t>No</t>
        </is>
      </c>
      <c r="K30" s="10" t="inlineStr">
        <is>
          <t>Yes</t>
        </is>
      </c>
      <c r="L30" s="10" t="inlineStr">
        <is>
          <t>Not Started</t>
        </is>
      </c>
      <c r="M30" s="10" t="inlineStr"/>
      <c r="N30" s="10" t="inlineStr">
        <is>
          <t>Call commissary, introduce Newport</t>
        </is>
      </c>
      <c r="O30" s="10" t="inlineStr">
        <is>
          <t>DeCA Prime Vendor (Sysco/US Foods)</t>
        </is>
      </c>
      <c r="P30" s="10" t="inlineStr">
        <is>
          <t>Largest AF base by area. Store Dir direct: 850-882-5620 x261.</t>
        </is>
      </c>
    </row>
    <row r="31">
      <c r="A31" s="7" t="inlineStr">
        <is>
          <t>Ron Rogers (Store Director)</t>
        </is>
      </c>
      <c r="B31" s="7" t="inlineStr">
        <is>
          <t>Commissary Store Director</t>
        </is>
      </c>
      <c r="C31" s="7" t="inlineStr">
        <is>
          <t>MacDill Air Force Base</t>
        </is>
      </c>
      <c r="D31" s="7" t="inlineStr">
        <is>
          <t>Federal — Military (Air Force)</t>
        </is>
      </c>
      <c r="E31" s="7" t="inlineStr">
        <is>
          <t>Commissary</t>
        </is>
      </c>
      <c r="F31" s="7" t="inlineStr">
        <is>
          <t>Tier 2</t>
        </is>
      </c>
      <c r="G31" s="7" t="inlineStr">
        <is>
          <t>Medium</t>
        </is>
      </c>
      <c r="H31" s="7" t="inlineStr">
        <is>
          <t>Tampa, FL</t>
        </is>
      </c>
      <c r="I31" s="7" t="inlineStr">
        <is>
          <t>DeCA / Installation Directory</t>
        </is>
      </c>
      <c r="J31" s="7" t="inlineStr">
        <is>
          <t>No</t>
        </is>
      </c>
      <c r="K31" s="7" t="inlineStr">
        <is>
          <t>Yes</t>
        </is>
      </c>
      <c r="L31" s="7" t="inlineStr">
        <is>
          <t>Not Started</t>
        </is>
      </c>
      <c r="M31" s="7" t="inlineStr"/>
      <c r="N31" s="7" t="inlineStr">
        <is>
          <t>Call commissary, introduce Newport</t>
        </is>
      </c>
      <c r="O31" s="7" t="inlineStr">
        <is>
          <t>DeCA Prime Vendor (Sysco/US Foods)</t>
        </is>
      </c>
      <c r="P31" s="7" t="inlineStr">
        <is>
          <t>Home of 6th Air Refueling Wing and USCENTCOM/USSOCOM HQs. Click2Go: 656-789-6706.</t>
        </is>
      </c>
    </row>
    <row r="32">
      <c r="A32" s="10" t="inlineStr">
        <is>
          <t>Commissary Officer Greg Dooley</t>
        </is>
      </c>
      <c r="B32" s="10" t="inlineStr">
        <is>
          <t>Commissary Store Director</t>
        </is>
      </c>
      <c r="C32" s="10" t="inlineStr">
        <is>
          <t>Naval Station Mayport</t>
        </is>
      </c>
      <c r="D32" s="10" t="inlineStr">
        <is>
          <t>Federal — Military (Navy)</t>
        </is>
      </c>
      <c r="E32" s="10" t="inlineStr">
        <is>
          <t>Commissary</t>
        </is>
      </c>
      <c r="F32" s="10" t="inlineStr">
        <is>
          <t>Tier 2</t>
        </is>
      </c>
      <c r="G32" s="10" t="inlineStr">
        <is>
          <t>Medium</t>
        </is>
      </c>
      <c r="H32" s="10" t="inlineStr">
        <is>
          <t>Mayport, FL</t>
        </is>
      </c>
      <c r="I32" s="10" t="inlineStr">
        <is>
          <t>DeCA / Installation Directory</t>
        </is>
      </c>
      <c r="J32" s="10" t="inlineStr">
        <is>
          <t>No</t>
        </is>
      </c>
      <c r="K32" s="10" t="inlineStr">
        <is>
          <t>Yes</t>
        </is>
      </c>
      <c r="L32" s="10" t="inlineStr">
        <is>
          <t>Not Started</t>
        </is>
      </c>
      <c r="M32" s="10" t="inlineStr"/>
      <c r="N32" s="10" t="inlineStr">
        <is>
          <t>Call commissary, introduce Newport</t>
        </is>
      </c>
      <c r="O32" s="10" t="inlineStr">
        <is>
          <t>DeCA Prime Vendor (Sysco/US Foods)</t>
        </is>
      </c>
      <c r="P32" s="10" t="inlineStr">
        <is>
          <t>Third largest naval facility on East Coast. Asst Commissary Officer Amanda Zkett: 904-242-5702.</t>
        </is>
      </c>
    </row>
    <row r="33">
      <c r="A33" s="7" t="inlineStr">
        <is>
          <t>Jerry Copenhefer (Store Director)</t>
        </is>
      </c>
      <c r="B33" s="7" t="inlineStr">
        <is>
          <t>Commissary Store Director</t>
        </is>
      </c>
      <c r="C33" s="7" t="inlineStr">
        <is>
          <t>Patrick Space Force Base</t>
        </is>
      </c>
      <c r="D33" s="7" t="inlineStr">
        <is>
          <t>Federal — Military (Space Force)</t>
        </is>
      </c>
      <c r="E33" s="7" t="inlineStr">
        <is>
          <t>Commissary</t>
        </is>
      </c>
      <c r="F33" s="7" t="inlineStr">
        <is>
          <t>Tier 2</t>
        </is>
      </c>
      <c r="G33" s="7" t="inlineStr">
        <is>
          <t>Medium</t>
        </is>
      </c>
      <c r="H33" s="7" t="inlineStr">
        <is>
          <t>Patrick AFB, FL</t>
        </is>
      </c>
      <c r="I33" s="7" t="inlineStr">
        <is>
          <t>DeCA / Installation Directory</t>
        </is>
      </c>
      <c r="J33" s="7" t="inlineStr">
        <is>
          <t>No</t>
        </is>
      </c>
      <c r="K33" s="7" t="inlineStr">
        <is>
          <t>Yes</t>
        </is>
      </c>
      <c r="L33" s="7" t="inlineStr">
        <is>
          <t>Not Started</t>
        </is>
      </c>
      <c r="M33" s="7" t="inlineStr"/>
      <c r="N33" s="7" t="inlineStr">
        <is>
          <t>Call commissary, introduce Newport</t>
        </is>
      </c>
      <c r="O33" s="7" t="inlineStr">
        <is>
          <t>DeCA Prime Vendor (Sysco/US Foods)</t>
        </is>
      </c>
      <c r="P33" s="7" t="inlineStr">
        <is>
          <t>Space Launch Delta 45. Store Dir direct: 321-494-5844 x3026.</t>
        </is>
      </c>
    </row>
    <row r="34">
      <c r="A34" s="10" t="inlineStr">
        <is>
          <t>[NFS Manager — Call]</t>
        </is>
      </c>
      <c r="B34" s="10" t="inlineStr">
        <is>
          <t>Nutrition &amp; Food Service Manager</t>
        </is>
      </c>
      <c r="C34" s="10" t="inlineStr">
        <is>
          <t>Bay Pines VA Healthcare System</t>
        </is>
      </c>
      <c r="D34" s="10" t="inlineStr">
        <is>
          <t>Federal — VA</t>
        </is>
      </c>
      <c r="E34" s="10" t="inlineStr">
        <is>
          <t>Food Service</t>
        </is>
      </c>
      <c r="F34" s="10" t="inlineStr">
        <is>
          <t>Tier 2</t>
        </is>
      </c>
      <c r="G34" s="10" t="inlineStr">
        <is>
          <t>High</t>
        </is>
      </c>
      <c r="H34" s="10" t="inlineStr">
        <is>
          <t>Bay Pines, FL</t>
        </is>
      </c>
      <c r="I34" s="10" t="inlineStr">
        <is>
          <t>VA.gov</t>
        </is>
      </c>
      <c r="J34" s="10" t="inlineStr">
        <is>
          <t>No</t>
        </is>
      </c>
      <c r="K34" s="10" t="inlineStr">
        <is>
          <t>Yes</t>
        </is>
      </c>
      <c r="L34" s="10" t="inlineStr">
        <is>
          <t>Not Started</t>
        </is>
      </c>
      <c r="M34" s="10" t="inlineStr"/>
      <c r="N34" s="10" t="inlineStr">
        <is>
          <t>Call NFS: 727-398-6661 ext. 15489</t>
        </is>
      </c>
      <c r="O34" s="10" t="inlineStr">
        <is>
          <t>Unknown</t>
        </is>
      </c>
      <c r="P34" s="10" t="inlineStr">
        <is>
          <t>C.W. Bill Young Dept of VA Medical Center. Interim Deputy: Justina Wells.</t>
        </is>
      </c>
    </row>
    <row r="35">
      <c r="A35" s="7" t="inlineStr">
        <is>
          <t>[NFS Manager — Call]</t>
        </is>
      </c>
      <c r="B35" s="7" t="inlineStr">
        <is>
          <t>Nutrition &amp; Food Service Manager</t>
        </is>
      </c>
      <c r="C35" s="7" t="inlineStr">
        <is>
          <t>James A. Haley Veterans Hospital</t>
        </is>
      </c>
      <c r="D35" s="7" t="inlineStr">
        <is>
          <t>Federal — VA</t>
        </is>
      </c>
      <c r="E35" s="7" t="inlineStr">
        <is>
          <t>Food Service</t>
        </is>
      </c>
      <c r="F35" s="7" t="inlineStr">
        <is>
          <t>Tier 2</t>
        </is>
      </c>
      <c r="G35" s="7" t="inlineStr">
        <is>
          <t>High</t>
        </is>
      </c>
      <c r="H35" s="7" t="inlineStr">
        <is>
          <t>Tampa, FL</t>
        </is>
      </c>
      <c r="I35" s="7" t="inlineStr">
        <is>
          <t>VA.gov</t>
        </is>
      </c>
      <c r="J35" s="7" t="inlineStr">
        <is>
          <t>No</t>
        </is>
      </c>
      <c r="K35" s="7" t="inlineStr">
        <is>
          <t>Yes</t>
        </is>
      </c>
      <c r="L35" s="7" t="inlineStr">
        <is>
          <t>Not Started</t>
        </is>
      </c>
      <c r="M35" s="7" t="inlineStr"/>
      <c r="N35" s="7" t="inlineStr">
        <is>
          <t>Call NFS: 813-972-2000 ext. 107043</t>
        </is>
      </c>
      <c r="O35" s="7" t="inlineStr">
        <is>
          <t>Unknown</t>
        </is>
      </c>
      <c r="P35" s="7" t="inlineStr">
        <is>
          <t>VISN 8 — VA Sunshine Healthcare Network. David K. Dunning moved to Acting VISN 8 Network Director Jun 2025.</t>
        </is>
      </c>
    </row>
    <row r="36">
      <c r="A36" s="10" t="inlineStr">
        <is>
          <t>[NFS Manager — Call]</t>
        </is>
      </c>
      <c r="B36" s="10" t="inlineStr">
        <is>
          <t>Nutrition &amp; Food Service Manager</t>
        </is>
      </c>
      <c r="C36" s="10" t="inlineStr">
        <is>
          <t>Lake City VA Medical Center</t>
        </is>
      </c>
      <c r="D36" s="10" t="inlineStr">
        <is>
          <t>Federal — VA</t>
        </is>
      </c>
      <c r="E36" s="10" t="inlineStr">
        <is>
          <t>Food Service</t>
        </is>
      </c>
      <c r="F36" s="10" t="inlineStr">
        <is>
          <t>Tier 2</t>
        </is>
      </c>
      <c r="G36" s="10" t="inlineStr">
        <is>
          <t>High</t>
        </is>
      </c>
      <c r="H36" s="10" t="inlineStr">
        <is>
          <t>Lake City, FL</t>
        </is>
      </c>
      <c r="I36" s="10" t="inlineStr">
        <is>
          <t>VA.gov</t>
        </is>
      </c>
      <c r="J36" s="10" t="inlineStr">
        <is>
          <t>No</t>
        </is>
      </c>
      <c r="K36" s="10" t="inlineStr">
        <is>
          <t>Yes</t>
        </is>
      </c>
      <c r="L36" s="10" t="inlineStr">
        <is>
          <t>Not Started</t>
        </is>
      </c>
      <c r="M36" s="10" t="inlineStr"/>
      <c r="N36" s="10" t="inlineStr">
        <is>
          <t>Call NFS: 386-755-3016</t>
        </is>
      </c>
      <c r="O36" s="10" t="inlineStr">
        <is>
          <t>Unknown</t>
        </is>
      </c>
      <c r="P36" s="10" t="inlineStr">
        <is>
          <t>Part of NF/SG Veterans Health System with Gainesville. System Executive Director: Wende Dottor.</t>
        </is>
      </c>
    </row>
    <row r="37">
      <c r="A37" s="7" t="inlineStr">
        <is>
          <t>[NFS Manager — Call]</t>
        </is>
      </c>
      <c r="B37" s="7" t="inlineStr">
        <is>
          <t>Nutrition &amp; Food Service Manager</t>
        </is>
      </c>
      <c r="C37" s="7" t="inlineStr">
        <is>
          <t>Malcom Randall VA Medical Center</t>
        </is>
      </c>
      <c r="D37" s="7" t="inlineStr">
        <is>
          <t>Federal — VA</t>
        </is>
      </c>
      <c r="E37" s="7" t="inlineStr">
        <is>
          <t>Food Service</t>
        </is>
      </c>
      <c r="F37" s="7" t="inlineStr">
        <is>
          <t>Tier 2</t>
        </is>
      </c>
      <c r="G37" s="7" t="inlineStr">
        <is>
          <t>High</t>
        </is>
      </c>
      <c r="H37" s="7" t="inlineStr">
        <is>
          <t>Gainesville, FL</t>
        </is>
      </c>
      <c r="I37" s="7" t="inlineStr">
        <is>
          <t>VA.gov</t>
        </is>
      </c>
      <c r="J37" s="7" t="inlineStr">
        <is>
          <t>No</t>
        </is>
      </c>
      <c r="K37" s="7" t="inlineStr">
        <is>
          <t>Yes</t>
        </is>
      </c>
      <c r="L37" s="7" t="inlineStr">
        <is>
          <t>Not Started</t>
        </is>
      </c>
      <c r="M37" s="7" t="inlineStr"/>
      <c r="N37" s="7" t="inlineStr">
        <is>
          <t>Call NFS: 352-376-1611</t>
        </is>
      </c>
      <c r="O37" s="7" t="inlineStr">
        <is>
          <t>Unknown</t>
        </is>
      </c>
      <c r="P37" s="7" t="inlineStr">
        <is>
          <t>Part of NF/SG Veterans Health System. System Executive Director: Wende Dottor. Toll free: 800-324-8387.</t>
        </is>
      </c>
    </row>
    <row r="38">
      <c r="A38" s="10" t="inlineStr">
        <is>
          <t>[NFS Manager — Call]</t>
        </is>
      </c>
      <c r="B38" s="10" t="inlineStr">
        <is>
          <t>Nutrition &amp; Food Service Manager</t>
        </is>
      </c>
      <c r="C38" s="10" t="inlineStr">
        <is>
          <t>Miami VA Healthcare System</t>
        </is>
      </c>
      <c r="D38" s="10" t="inlineStr">
        <is>
          <t>Federal — VA</t>
        </is>
      </c>
      <c r="E38" s="10" t="inlineStr">
        <is>
          <t>Food Service</t>
        </is>
      </c>
      <c r="F38" s="10" t="inlineStr">
        <is>
          <t>Tier 2</t>
        </is>
      </c>
      <c r="G38" s="10" t="inlineStr">
        <is>
          <t>High</t>
        </is>
      </c>
      <c r="H38" s="10" t="inlineStr">
        <is>
          <t>Miami, FL</t>
        </is>
      </c>
      <c r="I38" s="10" t="inlineStr">
        <is>
          <t>VA.gov</t>
        </is>
      </c>
      <c r="J38" s="10" t="inlineStr">
        <is>
          <t>No</t>
        </is>
      </c>
      <c r="K38" s="10" t="inlineStr">
        <is>
          <t>Yes</t>
        </is>
      </c>
      <c r="L38" s="10" t="inlineStr">
        <is>
          <t>Not Started</t>
        </is>
      </c>
      <c r="M38" s="10" t="inlineStr"/>
      <c r="N38" s="10" t="inlineStr">
        <is>
          <t>Call NFS: 305-325-3325</t>
        </is>
      </c>
      <c r="O38" s="10" t="inlineStr">
        <is>
          <t>Unknown</t>
        </is>
      </c>
      <c r="P38" s="10" t="inlineStr">
        <is>
          <t>Bruce W. Carter Dept of VA Medical Center. Alt NFS phone: 888-276-1785.</t>
        </is>
      </c>
    </row>
    <row r="39">
      <c r="A39" s="7" t="inlineStr">
        <is>
          <t>[NFS Manager — Call]</t>
        </is>
      </c>
      <c r="B39" s="7" t="inlineStr">
        <is>
          <t>Nutrition &amp; Food Service Manager</t>
        </is>
      </c>
      <c r="C39" s="7" t="inlineStr">
        <is>
          <t>Orlando VA Healthcare System</t>
        </is>
      </c>
      <c r="D39" s="7" t="inlineStr">
        <is>
          <t>Federal — VA</t>
        </is>
      </c>
      <c r="E39" s="7" t="inlineStr">
        <is>
          <t>Food Service</t>
        </is>
      </c>
      <c r="F39" s="7" t="inlineStr">
        <is>
          <t>Tier 2</t>
        </is>
      </c>
      <c r="G39" s="7" t="inlineStr">
        <is>
          <t>High</t>
        </is>
      </c>
      <c r="H39" s="7" t="inlineStr">
        <is>
          <t>Orlando, FL</t>
        </is>
      </c>
      <c r="I39" s="7" t="inlineStr">
        <is>
          <t>VA.gov</t>
        </is>
      </c>
      <c r="J39" s="7" t="inlineStr">
        <is>
          <t>No</t>
        </is>
      </c>
      <c r="K39" s="7" t="inlineStr">
        <is>
          <t>Yes</t>
        </is>
      </c>
      <c r="L39" s="7" t="inlineStr">
        <is>
          <t>Not Started</t>
        </is>
      </c>
      <c r="M39" s="7" t="inlineStr"/>
      <c r="N39" s="7" t="inlineStr">
        <is>
          <t>Call NFS: 407-453-3692</t>
        </is>
      </c>
      <c r="O39" s="7" t="inlineStr">
        <is>
          <t>Unknown</t>
        </is>
      </c>
      <c r="P39" s="7" t="inlineStr">
        <is>
          <t>NFS scheduling for all locations: 407-453-3692. Nutrition classes: 407-256-8760.</t>
        </is>
      </c>
    </row>
    <row r="40">
      <c r="A40" s="10" t="inlineStr">
        <is>
          <t>[NFS Manager — Call]</t>
        </is>
      </c>
      <c r="B40" s="10" t="inlineStr">
        <is>
          <t>Nutrition &amp; Food Service Manager</t>
        </is>
      </c>
      <c r="C40" s="10" t="inlineStr">
        <is>
          <t>West Palm Beach VA Medical Center</t>
        </is>
      </c>
      <c r="D40" s="10" t="inlineStr">
        <is>
          <t>Federal — VA</t>
        </is>
      </c>
      <c r="E40" s="10" t="inlineStr">
        <is>
          <t>Food Service</t>
        </is>
      </c>
      <c r="F40" s="10" t="inlineStr">
        <is>
          <t>Tier 2</t>
        </is>
      </c>
      <c r="G40" s="10" t="inlineStr">
        <is>
          <t>High</t>
        </is>
      </c>
      <c r="H40" s="10" t="inlineStr">
        <is>
          <t>West Palm Beach, FL</t>
        </is>
      </c>
      <c r="I40" s="10" t="inlineStr">
        <is>
          <t>VA.gov</t>
        </is>
      </c>
      <c r="J40" s="10" t="inlineStr">
        <is>
          <t>No</t>
        </is>
      </c>
      <c r="K40" s="10" t="inlineStr">
        <is>
          <t>Yes</t>
        </is>
      </c>
      <c r="L40" s="10" t="inlineStr">
        <is>
          <t>Not Started</t>
        </is>
      </c>
      <c r="M40" s="10" t="inlineStr"/>
      <c r="N40" s="10" t="inlineStr">
        <is>
          <t>Call NFS: 561-422-8607</t>
        </is>
      </c>
      <c r="O40" s="10" t="inlineStr">
        <is>
          <t>Unknown</t>
        </is>
      </c>
      <c r="P40" s="10" t="inlineStr">
        <is>
          <t>Thomas H. Corey VA Medical Center (renamed).</t>
        </is>
      </c>
    </row>
    <row r="41">
      <c r="A41" s="7" t="inlineStr">
        <is>
          <t>[TBD — Call Facility]</t>
        </is>
      </c>
      <c r="B41" s="7" t="inlineStr">
        <is>
          <t>Food Service / Purchasing Contact</t>
        </is>
      </c>
      <c r="C41" s="7" t="inlineStr">
        <is>
          <t>Broward County — Broward Sheriff's Office (BSO)</t>
        </is>
      </c>
      <c r="D41" s="7" t="inlineStr">
        <is>
          <t>Local — County Jail</t>
        </is>
      </c>
      <c r="E41" s="7" t="inlineStr">
        <is>
          <t>Food Service / Purchasing</t>
        </is>
      </c>
      <c r="F41" s="7" t="inlineStr">
        <is>
          <t>Tier 2</t>
        </is>
      </c>
      <c r="G41" s="7" t="inlineStr">
        <is>
          <t>High</t>
        </is>
      </c>
      <c r="H41" s="7" t="inlineStr">
        <is>
          <t>Broward County, FL</t>
        </is>
      </c>
      <c r="I41" s="7" t="inlineStr">
        <is>
          <t>County Website / Sheriff Office</t>
        </is>
      </c>
      <c r="J41" s="7" t="inlineStr">
        <is>
          <t>No</t>
        </is>
      </c>
      <c r="K41" s="7" t="inlineStr">
        <is>
          <t>Yes</t>
        </is>
      </c>
      <c r="L41" s="7" t="inlineStr">
        <is>
          <t>Not Started</t>
        </is>
      </c>
      <c r="M41" s="7" t="inlineStr"/>
      <c r="N41" s="7" t="inlineStr">
        <is>
          <t>Monitor for rebid. Current vendor: Unknown</t>
        </is>
      </c>
      <c r="O41" s="7" t="inlineStr">
        <is>
          <t>Unknown</t>
        </is>
      </c>
      <c r="P41" s="7" t="inlineStr">
        <is>
          <t>~2379 daily inmates. Model: Contracted.</t>
        </is>
      </c>
    </row>
    <row r="42">
      <c r="A42" s="10" t="inlineStr">
        <is>
          <t>[TBD — Call Facility]</t>
        </is>
      </c>
      <c r="B42" s="10" t="inlineStr">
        <is>
          <t>Food Service / Purchasing Contact</t>
        </is>
      </c>
      <c r="C42" s="10" t="inlineStr">
        <is>
          <t>Hillsborough County — Hillsborough County Sheriff's Office (HCSO)</t>
        </is>
      </c>
      <c r="D42" s="10" t="inlineStr">
        <is>
          <t>Local — County Jail</t>
        </is>
      </c>
      <c r="E42" s="10" t="inlineStr">
        <is>
          <t>Food Service / Purchasing</t>
        </is>
      </c>
      <c r="F42" s="10" t="inlineStr">
        <is>
          <t>Tier 2</t>
        </is>
      </c>
      <c r="G42" s="10" t="inlineStr">
        <is>
          <t>High</t>
        </is>
      </c>
      <c r="H42" s="10" t="inlineStr">
        <is>
          <t>Hillsborough County, FL</t>
        </is>
      </c>
      <c r="I42" s="10" t="inlineStr">
        <is>
          <t>County Website / Sheriff Office</t>
        </is>
      </c>
      <c r="J42" s="10" t="inlineStr">
        <is>
          <t>Yes</t>
        </is>
      </c>
      <c r="K42" s="10" t="inlineStr">
        <is>
          <t>Yes</t>
        </is>
      </c>
      <c r="L42" s="10" t="inlineStr">
        <is>
          <t>Not Started</t>
        </is>
      </c>
      <c r="M42" s="10" t="inlineStr"/>
      <c r="N42" s="10" t="inlineStr">
        <is>
          <t>Monitor for rebid. Current vendor: Aramark</t>
        </is>
      </c>
      <c r="O42" s="10" t="inlineStr">
        <is>
          <t>Aramark</t>
        </is>
      </c>
      <c r="P42" s="10" t="inlineStr">
        <is>
          <t>~2651 daily inmates. Model: Contracted.</t>
        </is>
      </c>
    </row>
    <row r="43">
      <c r="A43" s="7" t="inlineStr">
        <is>
          <t>[TBD — Call Facility]</t>
        </is>
      </c>
      <c r="B43" s="7" t="inlineStr">
        <is>
          <t>Food Service / Purchasing Contact</t>
        </is>
      </c>
      <c r="C43" s="7" t="inlineStr">
        <is>
          <t>Lee County — Lee County Sheriff's Office</t>
        </is>
      </c>
      <c r="D43" s="7" t="inlineStr">
        <is>
          <t>Local — County Jail</t>
        </is>
      </c>
      <c r="E43" s="7" t="inlineStr">
        <is>
          <t>Food Service / Purchasing</t>
        </is>
      </c>
      <c r="F43" s="7" t="inlineStr">
        <is>
          <t>Tier 2</t>
        </is>
      </c>
      <c r="G43" s="7" t="inlineStr">
        <is>
          <t>Medium</t>
        </is>
      </c>
      <c r="H43" s="7" t="inlineStr">
        <is>
          <t>Lee County, FL</t>
        </is>
      </c>
      <c r="I43" s="7" t="inlineStr">
        <is>
          <t>County Website / Sheriff Office</t>
        </is>
      </c>
      <c r="J43" s="7" t="inlineStr">
        <is>
          <t>No</t>
        </is>
      </c>
      <c r="K43" s="7" t="inlineStr">
        <is>
          <t>Yes</t>
        </is>
      </c>
      <c r="L43" s="7" t="inlineStr">
        <is>
          <t>Not Started</t>
        </is>
      </c>
      <c r="M43" s="7" t="inlineStr"/>
      <c r="N43" s="7" t="inlineStr">
        <is>
          <t>Call to determine food service model (self-op vs contracted)</t>
        </is>
      </c>
      <c r="O43" s="7" t="inlineStr">
        <is>
          <t>Unknown</t>
        </is>
      </c>
      <c r="P43" s="7" t="inlineStr">
        <is>
          <t>~1606 daily inmates. Model: Unknown — Core Facility provides food services centrally; model unclear.</t>
        </is>
      </c>
    </row>
    <row r="44">
      <c r="A44" s="10" t="inlineStr">
        <is>
          <t>[TBD — Call Facility]</t>
        </is>
      </c>
      <c r="B44" s="10" t="inlineStr">
        <is>
          <t>Food Service / Purchasing Contact</t>
        </is>
      </c>
      <c r="C44" s="10" t="inlineStr">
        <is>
          <t>Palm Beach County — Palm Beach County Sheriff's Office (PBSO)</t>
        </is>
      </c>
      <c r="D44" s="10" t="inlineStr">
        <is>
          <t>Local — County Jail</t>
        </is>
      </c>
      <c r="E44" s="10" t="inlineStr">
        <is>
          <t>Food Service / Purchasing</t>
        </is>
      </c>
      <c r="F44" s="10" t="inlineStr">
        <is>
          <t>Tier 2</t>
        </is>
      </c>
      <c r="G44" s="10" t="inlineStr">
        <is>
          <t>Medium</t>
        </is>
      </c>
      <c r="H44" s="10" t="inlineStr">
        <is>
          <t>Palm Beach County, FL</t>
        </is>
      </c>
      <c r="I44" s="10" t="inlineStr">
        <is>
          <t>County Website / Sheriff Office</t>
        </is>
      </c>
      <c r="J44" s="10" t="inlineStr">
        <is>
          <t>No</t>
        </is>
      </c>
      <c r="K44" s="10" t="inlineStr">
        <is>
          <t>Yes</t>
        </is>
      </c>
      <c r="L44" s="10" t="inlineStr">
        <is>
          <t>Not Started</t>
        </is>
      </c>
      <c r="M44" s="10" t="inlineStr"/>
      <c r="N44" s="10" t="inlineStr">
        <is>
          <t>Monitor for rebid. Current vendor: Trinity Services Group Inc.</t>
        </is>
      </c>
      <c r="O44" s="10" t="inlineStr">
        <is>
          <t>Trinity Services Group Inc.</t>
        </is>
      </c>
      <c r="P44" s="10" t="inlineStr">
        <is>
          <t>~1769 daily inmates. Model: Contracted.</t>
        </is>
      </c>
    </row>
    <row r="45">
      <c r="A45" s="7" t="inlineStr">
        <is>
          <t>Barry Martin</t>
        </is>
      </c>
      <c r="B45" s="7" t="inlineStr">
        <is>
          <t>Food Services Administrator</t>
        </is>
      </c>
      <c r="C45" s="7" t="inlineStr">
        <is>
          <t>Polk County — Polk County Sheriff's Office</t>
        </is>
      </c>
      <c r="D45" s="7" t="inlineStr">
        <is>
          <t>Local — County Jail</t>
        </is>
      </c>
      <c r="E45" s="7" t="inlineStr">
        <is>
          <t>Food Service / Purchasing</t>
        </is>
      </c>
      <c r="F45" s="7" t="inlineStr">
        <is>
          <t>Tier 2</t>
        </is>
      </c>
      <c r="G45" s="7" t="inlineStr">
        <is>
          <t>High</t>
        </is>
      </c>
      <c r="H45" s="7" t="inlineStr">
        <is>
          <t>Polk County, FL</t>
        </is>
      </c>
      <c r="I45" s="7" t="inlineStr">
        <is>
          <t>County Website / Sheriff Office</t>
        </is>
      </c>
      <c r="J45" s="7" t="inlineStr">
        <is>
          <t>Yes</t>
        </is>
      </c>
      <c r="K45" s="7" t="inlineStr">
        <is>
          <t>Yes</t>
        </is>
      </c>
      <c r="L45" s="7" t="inlineStr">
        <is>
          <t>Not Started</t>
        </is>
      </c>
      <c r="M45" s="7" t="inlineStr"/>
      <c r="N45" s="7" t="inlineStr">
        <is>
          <t>PRIORITY: Self-operated = direct buyer. Call food service dept.</t>
        </is>
      </c>
      <c r="O45" s="7" t="inlineStr">
        <is>
          <t>Self-Operated</t>
        </is>
      </c>
      <c r="P45" s="7" t="inlineStr">
        <is>
          <t>~2603 daily inmates. Model: Self-Operated.</t>
        </is>
      </c>
    </row>
    <row r="46">
      <c r="A46" s="10" t="inlineStr">
        <is>
          <t>Joseph DeMore</t>
        </is>
      </c>
      <c r="B46" s="10" t="inlineStr">
        <is>
          <t>Corrections Director</t>
        </is>
      </c>
      <c r="C46" s="10" t="inlineStr">
        <is>
          <t>Volusia County — Volusia County Division of Corrections (County Government)</t>
        </is>
      </c>
      <c r="D46" s="10" t="inlineStr">
        <is>
          <t>Local — County Jail</t>
        </is>
      </c>
      <c r="E46" s="10" t="inlineStr">
        <is>
          <t>Food Service / Purchasing</t>
        </is>
      </c>
      <c r="F46" s="10" t="inlineStr">
        <is>
          <t>Tier 2</t>
        </is>
      </c>
      <c r="G46" s="10" t="inlineStr">
        <is>
          <t>Medium</t>
        </is>
      </c>
      <c r="H46" s="10" t="inlineStr">
        <is>
          <t>Volusia County, FL</t>
        </is>
      </c>
      <c r="I46" s="10" t="inlineStr">
        <is>
          <t>County Website / Sheriff Office</t>
        </is>
      </c>
      <c r="J46" s="10" t="inlineStr">
        <is>
          <t>Yes</t>
        </is>
      </c>
      <c r="K46" s="10" t="inlineStr">
        <is>
          <t>Yes</t>
        </is>
      </c>
      <c r="L46" s="10" t="inlineStr">
        <is>
          <t>Not Started</t>
        </is>
      </c>
      <c r="M46" s="10" t="inlineStr"/>
      <c r="N46" s="10" t="inlineStr">
        <is>
          <t>Monitor for rebid. Current vendor: Unknown</t>
        </is>
      </c>
      <c r="O46" s="10" t="inlineStr">
        <is>
          <t>Unknown</t>
        </is>
      </c>
      <c r="P46" s="10" t="inlineStr">
        <is>
          <t>~1554 daily inmates. Model: Contracted.</t>
        </is>
      </c>
    </row>
    <row r="47">
      <c r="A47" s="7" t="inlineStr">
        <is>
          <t>Kevin Thornton</t>
        </is>
      </c>
      <c r="B47" s="7" t="inlineStr">
        <is>
          <t>Food Service Director</t>
        </is>
      </c>
      <c r="C47" s="7" t="inlineStr">
        <is>
          <t>Brevard Public Schools</t>
        </is>
      </c>
      <c r="D47" s="7" t="inlineStr">
        <is>
          <t>Local — School District</t>
        </is>
      </c>
      <c r="E47" s="7" t="inlineStr">
        <is>
          <t>Food Service</t>
        </is>
      </c>
      <c r="F47" s="7" t="inlineStr">
        <is>
          <t>Tier 2</t>
        </is>
      </c>
      <c r="G47" s="7" t="inlineStr">
        <is>
          <t>High</t>
        </is>
      </c>
      <c r="H47" s="7" t="inlineStr">
        <is>
          <t>Brevard County, FL</t>
        </is>
      </c>
      <c r="I47" s="7" t="inlineStr">
        <is>
          <t>District Website</t>
        </is>
      </c>
      <c r="J47" s="7" t="inlineStr">
        <is>
          <t>No</t>
        </is>
      </c>
      <c r="K47" s="7" t="inlineStr">
        <is>
          <t>Yes</t>
        </is>
      </c>
      <c r="L47" s="7" t="inlineStr">
        <is>
          <t>Not Started</t>
        </is>
      </c>
      <c r="M47" s="7" t="inlineStr"/>
      <c r="N47" s="7" t="inlineStr">
        <is>
          <t>Call department phone</t>
        </is>
      </c>
      <c r="O47" s="7" t="inlineStr">
        <is>
          <t>Unknown</t>
        </is>
      </c>
      <c r="P47" s="7" t="inlineStr">
        <is>
          <t>~80000 students; 2700 Judge Fran Jamieson Way Viera FL 32940</t>
        </is>
      </c>
    </row>
    <row r="48">
      <c r="A48" s="10" t="inlineStr">
        <is>
          <t>Matthew Brooks</t>
        </is>
      </c>
      <c r="B48" s="10" t="inlineStr">
        <is>
          <t>Food and Nutrition Supervisor</t>
        </is>
      </c>
      <c r="C48" s="10" t="inlineStr">
        <is>
          <t>Manatee County School District</t>
        </is>
      </c>
      <c r="D48" s="10" t="inlineStr">
        <is>
          <t>Local — School District</t>
        </is>
      </c>
      <c r="E48" s="10" t="inlineStr">
        <is>
          <t>Food Service</t>
        </is>
      </c>
      <c r="F48" s="10" t="inlineStr">
        <is>
          <t>Tier 2</t>
        </is>
      </c>
      <c r="G48" s="10" t="inlineStr">
        <is>
          <t>High</t>
        </is>
      </c>
      <c r="H48" s="10" t="inlineStr">
        <is>
          <t>Manatee County, FL</t>
        </is>
      </c>
      <c r="I48" s="10" t="inlineStr">
        <is>
          <t>District Website</t>
        </is>
      </c>
      <c r="J48" s="10" t="inlineStr">
        <is>
          <t>No</t>
        </is>
      </c>
      <c r="K48" s="10" t="inlineStr">
        <is>
          <t>Yes</t>
        </is>
      </c>
      <c r="L48" s="10" t="inlineStr">
        <is>
          <t>Not Started</t>
        </is>
      </c>
      <c r="M48" s="10" t="inlineStr"/>
      <c r="N48" s="10" t="inlineStr">
        <is>
          <t>Call department phone</t>
        </is>
      </c>
      <c r="O48" s="10" t="inlineStr">
        <is>
          <t>Unknown</t>
        </is>
      </c>
      <c r="P48" s="10" t="inlineStr">
        <is>
          <t>~50000 students; 215 Manatee Ave W Bradenton FL 34205; dietician Skye Grundy RD at (941) 739-5700 x45030</t>
        </is>
      </c>
    </row>
    <row r="49">
      <c r="A49" s="7" t="inlineStr">
        <is>
          <t>Judith Feola Gordon</t>
        </is>
      </c>
      <c r="B49" s="7" t="inlineStr">
        <is>
          <t>Director - School Nutrition Services</t>
        </is>
      </c>
      <c r="C49" s="7" t="inlineStr">
        <is>
          <t>Osceola County School District</t>
        </is>
      </c>
      <c r="D49" s="7" t="inlineStr">
        <is>
          <t>Local — School District</t>
        </is>
      </c>
      <c r="E49" s="7" t="inlineStr">
        <is>
          <t>Food Service</t>
        </is>
      </c>
      <c r="F49" s="7" t="inlineStr">
        <is>
          <t>Tier 2</t>
        </is>
      </c>
      <c r="G49" s="7" t="inlineStr">
        <is>
          <t>High</t>
        </is>
      </c>
      <c r="H49" s="7" t="inlineStr">
        <is>
          <t>Osceola County, FL</t>
        </is>
      </c>
      <c r="I49" s="7" t="inlineStr">
        <is>
          <t>District Website</t>
        </is>
      </c>
      <c r="J49" s="7" t="inlineStr">
        <is>
          <t>Yes</t>
        </is>
      </c>
      <c r="K49" s="7" t="inlineStr">
        <is>
          <t>Yes</t>
        </is>
      </c>
      <c r="L49" s="7" t="inlineStr">
        <is>
          <t>Not Started</t>
        </is>
      </c>
      <c r="M49" s="7" t="inlineStr"/>
      <c r="N49" s="7" t="inlineStr">
        <is>
          <t>Schedule introductory call</t>
        </is>
      </c>
      <c r="O49" s="7" t="inlineStr">
        <is>
          <t>Unknown</t>
        </is>
      </c>
      <c r="P49" s="7" t="inlineStr">
        <is>
          <t>~65000 students; 2320 New Beginnings Road Kissimmee FL 34744</t>
        </is>
      </c>
    </row>
    <row r="50">
      <c r="A50" s="10" t="inlineStr">
        <is>
          <t>Stephanie Spicknall</t>
        </is>
      </c>
      <c r="B50" s="10" t="inlineStr">
        <is>
          <t>Director - Food Nutrition and Distribution Services</t>
        </is>
      </c>
      <c r="C50" s="10" t="inlineStr">
        <is>
          <t>Pasco County Schools</t>
        </is>
      </c>
      <c r="D50" s="10" t="inlineStr">
        <is>
          <t>Local — School District</t>
        </is>
      </c>
      <c r="E50" s="10" t="inlineStr">
        <is>
          <t>Food Service</t>
        </is>
      </c>
      <c r="F50" s="10" t="inlineStr">
        <is>
          <t>Tier 2</t>
        </is>
      </c>
      <c r="G50" s="10" t="inlineStr">
        <is>
          <t>High</t>
        </is>
      </c>
      <c r="H50" s="10" t="inlineStr">
        <is>
          <t>Pasco County, FL</t>
        </is>
      </c>
      <c r="I50" s="10" t="inlineStr">
        <is>
          <t>District Website</t>
        </is>
      </c>
      <c r="J50" s="10" t="inlineStr">
        <is>
          <t>Yes</t>
        </is>
      </c>
      <c r="K50" s="10" t="inlineStr">
        <is>
          <t>Yes</t>
        </is>
      </c>
      <c r="L50" s="10" t="inlineStr">
        <is>
          <t>Not Started</t>
        </is>
      </c>
      <c r="M50" s="10" t="inlineStr"/>
      <c r="N50" s="10" t="inlineStr">
        <is>
          <t>Schedule introductory call</t>
        </is>
      </c>
      <c r="O50" s="10" t="inlineStr">
        <is>
          <t>Unknown</t>
        </is>
      </c>
      <c r="P50" s="10" t="inlineStr">
        <is>
          <t>~80000 students; Direct ext (813) 794-2439</t>
        </is>
      </c>
    </row>
    <row r="51">
      <c r="A51" s="7" t="inlineStr">
        <is>
          <t>Jamie DeVivo</t>
        </is>
      </c>
      <c r="B51" s="7" t="inlineStr">
        <is>
          <t>Director - Red Apple Dining</t>
        </is>
      </c>
      <c r="C51" s="7" t="inlineStr">
        <is>
          <t>Seminole County Public Schools</t>
        </is>
      </c>
      <c r="D51" s="7" t="inlineStr">
        <is>
          <t>Local — School District</t>
        </is>
      </c>
      <c r="E51" s="7" t="inlineStr">
        <is>
          <t>Food Service</t>
        </is>
      </c>
      <c r="F51" s="7" t="inlineStr">
        <is>
          <t>Tier 2</t>
        </is>
      </c>
      <c r="G51" s="7" t="inlineStr">
        <is>
          <t>High</t>
        </is>
      </c>
      <c r="H51" s="7" t="inlineStr">
        <is>
          <t>Seminole County, FL</t>
        </is>
      </c>
      <c r="I51" s="7" t="inlineStr">
        <is>
          <t>District Website</t>
        </is>
      </c>
      <c r="J51" s="7" t="inlineStr">
        <is>
          <t>No</t>
        </is>
      </c>
      <c r="K51" s="7" t="inlineStr">
        <is>
          <t>Yes</t>
        </is>
      </c>
      <c r="L51" s="7" t="inlineStr">
        <is>
          <t>Not Started</t>
        </is>
      </c>
      <c r="M51" s="7" t="inlineStr"/>
      <c r="N51" s="7" t="inlineStr">
        <is>
          <t>Call department phone</t>
        </is>
      </c>
      <c r="O51" s="7" t="inlineStr">
        <is>
          <t>Unknown</t>
        </is>
      </c>
      <c r="P51" s="7" t="inlineStr">
        <is>
          <t>~68000 students; 400 E Lake Mary Blvd Sanford FL 32773</t>
        </is>
      </c>
    </row>
    <row r="52">
      <c r="A52" s="10" t="inlineStr">
        <is>
          <t>Jodi Douglas RD LD/N</t>
        </is>
      </c>
      <c r="B52" s="10" t="inlineStr">
        <is>
          <t>Director - Food and Nutrition Services</t>
        </is>
      </c>
      <c r="C52" s="10" t="inlineStr">
        <is>
          <t>St. Johns County School District</t>
        </is>
      </c>
      <c r="D52" s="10" t="inlineStr">
        <is>
          <t>Local — School District</t>
        </is>
      </c>
      <c r="E52" s="10" t="inlineStr">
        <is>
          <t>Food Service</t>
        </is>
      </c>
      <c r="F52" s="10" t="inlineStr">
        <is>
          <t>Tier 2</t>
        </is>
      </c>
      <c r="G52" s="10" t="inlineStr">
        <is>
          <t>High</t>
        </is>
      </c>
      <c r="H52" s="10" t="inlineStr">
        <is>
          <t>St. Johns County, FL</t>
        </is>
      </c>
      <c r="I52" s="10" t="inlineStr">
        <is>
          <t>District Website</t>
        </is>
      </c>
      <c r="J52" s="10" t="inlineStr">
        <is>
          <t>No</t>
        </is>
      </c>
      <c r="K52" s="10" t="inlineStr">
        <is>
          <t>Yes</t>
        </is>
      </c>
      <c r="L52" s="10" t="inlineStr">
        <is>
          <t>Not Started</t>
        </is>
      </c>
      <c r="M52" s="10" t="inlineStr"/>
      <c r="N52" s="10" t="inlineStr">
        <is>
          <t>Call department phone</t>
        </is>
      </c>
      <c r="O52" s="10" t="inlineStr">
        <is>
          <t>Unknown</t>
        </is>
      </c>
      <c r="P52" s="10" t="inlineStr">
        <is>
          <t>~50000 students; 3015 Lewis Speedway Building 7 St. Augustine FL 32084</t>
        </is>
      </c>
    </row>
    <row r="53">
      <c r="A53" s="7" t="inlineStr">
        <is>
          <t>Heather DeMeola SNS</t>
        </is>
      </c>
      <c r="B53" s="7" t="inlineStr">
        <is>
          <t>Director - School Way Cafe</t>
        </is>
      </c>
      <c r="C53" s="7" t="inlineStr">
        <is>
          <t>Volusia County Schools</t>
        </is>
      </c>
      <c r="D53" s="7" t="inlineStr">
        <is>
          <t>Local — School District</t>
        </is>
      </c>
      <c r="E53" s="7" t="inlineStr">
        <is>
          <t>Food Service</t>
        </is>
      </c>
      <c r="F53" s="7" t="inlineStr">
        <is>
          <t>Tier 2</t>
        </is>
      </c>
      <c r="G53" s="7" t="inlineStr">
        <is>
          <t>High</t>
        </is>
      </c>
      <c r="H53" s="7" t="inlineStr">
        <is>
          <t>Volusia County, FL</t>
        </is>
      </c>
      <c r="I53" s="7" t="inlineStr">
        <is>
          <t>District Website</t>
        </is>
      </c>
      <c r="J53" s="7" t="inlineStr">
        <is>
          <t>Yes</t>
        </is>
      </c>
      <c r="K53" s="7" t="inlineStr">
        <is>
          <t>Yes</t>
        </is>
      </c>
      <c r="L53" s="7" t="inlineStr">
        <is>
          <t>Not Started</t>
        </is>
      </c>
      <c r="M53" s="7" t="inlineStr"/>
      <c r="N53" s="7" t="inlineStr">
        <is>
          <t>Schedule introductory call</t>
        </is>
      </c>
      <c r="O53" s="7" t="inlineStr">
        <is>
          <t>Unknown</t>
        </is>
      </c>
      <c r="P53" s="7" t="inlineStr">
        <is>
          <t>~65000 students; 3750 Olson Drive Daytona Beach FL 32124</t>
        </is>
      </c>
    </row>
    <row r="54">
      <c r="A54" s="10" t="inlineStr">
        <is>
          <t>Jamie Lovett</t>
        </is>
      </c>
      <c r="B54" s="10" t="inlineStr">
        <is>
          <t>Director - Food and Nutrition Services</t>
        </is>
      </c>
      <c r="C54" s="10" t="inlineStr">
        <is>
          <t>Alachua County Public Schools</t>
        </is>
      </c>
      <c r="D54" s="10" t="inlineStr">
        <is>
          <t>Local — School District</t>
        </is>
      </c>
      <c r="E54" s="10" t="inlineStr">
        <is>
          <t>Food Service</t>
        </is>
      </c>
      <c r="F54" s="10" t="inlineStr">
        <is>
          <t>Tier 3</t>
        </is>
      </c>
      <c r="G54" s="10" t="inlineStr">
        <is>
          <t>Medium</t>
        </is>
      </c>
      <c r="H54" s="10" t="inlineStr">
        <is>
          <t>Alachua County, FL</t>
        </is>
      </c>
      <c r="I54" s="10" t="inlineStr">
        <is>
          <t>District Website</t>
        </is>
      </c>
      <c r="J54" s="10" t="inlineStr">
        <is>
          <t>No</t>
        </is>
      </c>
      <c r="K54" s="10" t="inlineStr">
        <is>
          <t>Yes</t>
        </is>
      </c>
      <c r="L54" s="10" t="inlineStr">
        <is>
          <t>Not Started</t>
        </is>
      </c>
      <c r="M54" s="10" t="inlineStr"/>
      <c r="N54" s="10" t="inlineStr">
        <is>
          <t>Call department phone</t>
        </is>
      </c>
      <c r="O54" s="10" t="inlineStr">
        <is>
          <t>Unknown</t>
        </is>
      </c>
      <c r="P54" s="10" t="inlineStr">
        <is>
          <t>~28000 students; 3700 NE 53rd Ave Building B Gainesville FL 32609</t>
        </is>
      </c>
    </row>
    <row r="55">
      <c r="A55" s="7" t="inlineStr">
        <is>
          <t>Susan Glover</t>
        </is>
      </c>
      <c r="B55" s="7" t="inlineStr">
        <is>
          <t>Director - Food and Nutrition Service</t>
        </is>
      </c>
      <c r="C55" s="7" t="inlineStr">
        <is>
          <t>Clay County District Schools</t>
        </is>
      </c>
      <c r="D55" s="7" t="inlineStr">
        <is>
          <t>Local — School District</t>
        </is>
      </c>
      <c r="E55" s="7" t="inlineStr">
        <is>
          <t>Food Service</t>
        </is>
      </c>
      <c r="F55" s="7" t="inlineStr">
        <is>
          <t>Tier 3</t>
        </is>
      </c>
      <c r="G55" s="7" t="inlineStr">
        <is>
          <t>Medium</t>
        </is>
      </c>
      <c r="H55" s="7" t="inlineStr">
        <is>
          <t>Clay County, FL</t>
        </is>
      </c>
      <c r="I55" s="7" t="inlineStr">
        <is>
          <t>District Website</t>
        </is>
      </c>
      <c r="J55" s="7" t="inlineStr">
        <is>
          <t>No</t>
        </is>
      </c>
      <c r="K55" s="7" t="inlineStr">
        <is>
          <t>Yes</t>
        </is>
      </c>
      <c r="L55" s="7" t="inlineStr">
        <is>
          <t>Not Started</t>
        </is>
      </c>
      <c r="M55" s="7" t="inlineStr"/>
      <c r="N55" s="7" t="inlineStr">
        <is>
          <t>Call department phone</t>
        </is>
      </c>
      <c r="O55" s="7" t="inlineStr">
        <is>
          <t>Unknown</t>
        </is>
      </c>
      <c r="P55" s="7" t="inlineStr">
        <is>
          <t>~40000 students; Green Cove Springs FL</t>
        </is>
      </c>
    </row>
    <row r="56">
      <c r="A56" s="10" t="inlineStr">
        <is>
          <t>Elizabeth Alfaro</t>
        </is>
      </c>
      <c r="B56" s="10" t="inlineStr">
        <is>
          <t>Director - Nutrition Services</t>
        </is>
      </c>
      <c r="C56" s="10" t="inlineStr">
        <is>
          <t>Collier County Public Schools</t>
        </is>
      </c>
      <c r="D56" s="10" t="inlineStr">
        <is>
          <t>Local — School District</t>
        </is>
      </c>
      <c r="E56" s="10" t="inlineStr">
        <is>
          <t>Food Service</t>
        </is>
      </c>
      <c r="F56" s="10" t="inlineStr">
        <is>
          <t>Tier 3</t>
        </is>
      </c>
      <c r="G56" s="10" t="inlineStr">
        <is>
          <t>Medium</t>
        </is>
      </c>
      <c r="H56" s="10" t="inlineStr">
        <is>
          <t>Collier County, FL</t>
        </is>
      </c>
      <c r="I56" s="10" t="inlineStr">
        <is>
          <t>District Website</t>
        </is>
      </c>
      <c r="J56" s="10" t="inlineStr">
        <is>
          <t>Yes</t>
        </is>
      </c>
      <c r="K56" s="10" t="inlineStr">
        <is>
          <t>Yes</t>
        </is>
      </c>
      <c r="L56" s="10" t="inlineStr">
        <is>
          <t>Not Started</t>
        </is>
      </c>
      <c r="M56" s="10" t="inlineStr"/>
      <c r="N56" s="10" t="inlineStr">
        <is>
          <t>Schedule introductory call</t>
        </is>
      </c>
      <c r="O56" s="10" t="inlineStr">
        <is>
          <t>Unknown</t>
        </is>
      </c>
      <c r="P56" s="10" t="inlineStr">
        <is>
          <t>~48000 students</t>
        </is>
      </c>
    </row>
    <row r="57">
      <c r="A57" s="7" t="inlineStr">
        <is>
          <t>Jaleena Davis</t>
        </is>
      </c>
      <c r="B57" s="7" t="inlineStr">
        <is>
          <t>Director - Food Services</t>
        </is>
      </c>
      <c r="C57" s="7" t="inlineStr">
        <is>
          <t>Escambia County School District</t>
        </is>
      </c>
      <c r="D57" s="7" t="inlineStr">
        <is>
          <t>Local — School District</t>
        </is>
      </c>
      <c r="E57" s="7" t="inlineStr">
        <is>
          <t>Food Service</t>
        </is>
      </c>
      <c r="F57" s="7" t="inlineStr">
        <is>
          <t>Tier 3</t>
        </is>
      </c>
      <c r="G57" s="7" t="inlineStr">
        <is>
          <t>Medium</t>
        </is>
      </c>
      <c r="H57" s="7" t="inlineStr">
        <is>
          <t>Escambia County, FL</t>
        </is>
      </c>
      <c r="I57" s="7" t="inlineStr">
        <is>
          <t>District Website</t>
        </is>
      </c>
      <c r="J57" s="7" t="inlineStr">
        <is>
          <t>Yes</t>
        </is>
      </c>
      <c r="K57" s="7" t="inlineStr">
        <is>
          <t>Yes</t>
        </is>
      </c>
      <c r="L57" s="7" t="inlineStr">
        <is>
          <t>Not Started</t>
        </is>
      </c>
      <c r="M57" s="7" t="inlineStr"/>
      <c r="N57" s="7" t="inlineStr">
        <is>
          <t>Schedule introductory call</t>
        </is>
      </c>
      <c r="O57" s="7" t="inlineStr">
        <is>
          <t>Unknown</t>
        </is>
      </c>
      <c r="P57" s="7" t="inlineStr">
        <is>
          <t>~40000 students; 42 E Texar Drive Pensacola FL 32503</t>
        </is>
      </c>
    </row>
    <row r="58">
      <c r="A58" s="10" t="inlineStr">
        <is>
          <t>[TBD — Call District]</t>
        </is>
      </c>
      <c r="B58" s="10" t="inlineStr">
        <is>
          <t>Director - Food Services</t>
        </is>
      </c>
      <c r="C58" s="10" t="inlineStr">
        <is>
          <t>Lake County Schools</t>
        </is>
      </c>
      <c r="D58" s="10" t="inlineStr">
        <is>
          <t>Local — School District</t>
        </is>
      </c>
      <c r="E58" s="10" t="inlineStr">
        <is>
          <t>Food Service</t>
        </is>
      </c>
      <c r="F58" s="10" t="inlineStr">
        <is>
          <t>Tier 3</t>
        </is>
      </c>
      <c r="G58" s="10" t="inlineStr">
        <is>
          <t>Medium</t>
        </is>
      </c>
      <c r="H58" s="10" t="inlineStr">
        <is>
          <t>Lake County, FL</t>
        </is>
      </c>
      <c r="I58" s="10" t="inlineStr">
        <is>
          <t>District Website</t>
        </is>
      </c>
      <c r="J58" s="10" t="inlineStr">
        <is>
          <t>No</t>
        </is>
      </c>
      <c r="K58" s="10" t="inlineStr">
        <is>
          <t>Yes</t>
        </is>
      </c>
      <c r="L58" s="10" t="inlineStr">
        <is>
          <t>Not Started</t>
        </is>
      </c>
      <c r="M58" s="10" t="inlineStr"/>
      <c r="N58" s="10" t="inlineStr">
        <is>
          <t>Call department phone</t>
        </is>
      </c>
      <c r="O58" s="10" t="inlineStr">
        <is>
          <t>Unknown</t>
        </is>
      </c>
      <c r="P58" s="10" t="inlineStr">
        <is>
          <t>~47000 students; Call main district line for director contact</t>
        </is>
      </c>
    </row>
    <row r="59">
      <c r="A59" s="7" t="inlineStr">
        <is>
          <t>Christie Meresse</t>
        </is>
      </c>
      <c r="B59" s="7" t="inlineStr">
        <is>
          <t>Director - Nutrition Services</t>
        </is>
      </c>
      <c r="C59" s="7" t="inlineStr">
        <is>
          <t>Leon County Schools</t>
        </is>
      </c>
      <c r="D59" s="7" t="inlineStr">
        <is>
          <t>Local — School District</t>
        </is>
      </c>
      <c r="E59" s="7" t="inlineStr">
        <is>
          <t>Food Service</t>
        </is>
      </c>
      <c r="F59" s="7" t="inlineStr">
        <is>
          <t>Tier 3</t>
        </is>
      </c>
      <c r="G59" s="7" t="inlineStr">
        <is>
          <t>Medium</t>
        </is>
      </c>
      <c r="H59" s="7" t="inlineStr">
        <is>
          <t>Leon County, FL</t>
        </is>
      </c>
      <c r="I59" s="7" t="inlineStr">
        <is>
          <t>District Website</t>
        </is>
      </c>
      <c r="J59" s="7" t="inlineStr">
        <is>
          <t>Yes</t>
        </is>
      </c>
      <c r="K59" s="7" t="inlineStr">
        <is>
          <t>Yes</t>
        </is>
      </c>
      <c r="L59" s="7" t="inlineStr">
        <is>
          <t>Not Started</t>
        </is>
      </c>
      <c r="M59" s="7" t="inlineStr"/>
      <c r="N59" s="7" t="inlineStr">
        <is>
          <t>Schedule introductory call</t>
        </is>
      </c>
      <c r="O59" s="7" t="inlineStr">
        <is>
          <t>Unknown</t>
        </is>
      </c>
      <c r="P59" s="7" t="inlineStr">
        <is>
          <t>~34000 students; 3397 W Tharpe St Tallahassee FL 32303</t>
        </is>
      </c>
    </row>
    <row r="60">
      <c r="A60" s="10" t="inlineStr">
        <is>
          <t>Ramona Belcher BAS SNS</t>
        </is>
      </c>
      <c r="B60" s="10" t="inlineStr">
        <is>
          <t>Food and Nutrition Supervisor</t>
        </is>
      </c>
      <c r="C60" s="10" t="inlineStr">
        <is>
          <t>Marion County Public Schools</t>
        </is>
      </c>
      <c r="D60" s="10" t="inlineStr">
        <is>
          <t>Local — School District</t>
        </is>
      </c>
      <c r="E60" s="10" t="inlineStr">
        <is>
          <t>Food Service</t>
        </is>
      </c>
      <c r="F60" s="10" t="inlineStr">
        <is>
          <t>Tier 3</t>
        </is>
      </c>
      <c r="G60" s="10" t="inlineStr">
        <is>
          <t>Medium</t>
        </is>
      </c>
      <c r="H60" s="10" t="inlineStr">
        <is>
          <t>Marion County, FL</t>
        </is>
      </c>
      <c r="I60" s="10" t="inlineStr">
        <is>
          <t>District Website</t>
        </is>
      </c>
      <c r="J60" s="10" t="inlineStr">
        <is>
          <t>No</t>
        </is>
      </c>
      <c r="K60" s="10" t="inlineStr">
        <is>
          <t>Yes</t>
        </is>
      </c>
      <c r="L60" s="10" t="inlineStr">
        <is>
          <t>Not Started</t>
        </is>
      </c>
      <c r="M60" s="10" t="inlineStr"/>
      <c r="N60" s="10" t="inlineStr">
        <is>
          <t>Call department phone</t>
        </is>
      </c>
      <c r="O60" s="10" t="inlineStr">
        <is>
          <t>Unknown</t>
        </is>
      </c>
      <c r="P60" s="10" t="inlineStr">
        <is>
          <t>~44000 students; Dietitian: Tammy Cook RD at (352) 671-4192</t>
        </is>
      </c>
    </row>
    <row r="61">
      <c r="A61" s="7" t="inlineStr">
        <is>
          <t>Sara Dan</t>
        </is>
      </c>
      <c r="B61" s="7" t="inlineStr">
        <is>
          <t>Director - Food and Nutrition Services</t>
        </is>
      </c>
      <c r="C61" s="7" t="inlineStr">
        <is>
          <t>Sarasota County Schools</t>
        </is>
      </c>
      <c r="D61" s="7" t="inlineStr">
        <is>
          <t>Local — School District</t>
        </is>
      </c>
      <c r="E61" s="7" t="inlineStr">
        <is>
          <t>Food Service</t>
        </is>
      </c>
      <c r="F61" s="7" t="inlineStr">
        <is>
          <t>Tier 3</t>
        </is>
      </c>
      <c r="G61" s="7" t="inlineStr">
        <is>
          <t>Medium</t>
        </is>
      </c>
      <c r="H61" s="7" t="inlineStr">
        <is>
          <t>Sarasota County, FL</t>
        </is>
      </c>
      <c r="I61" s="7" t="inlineStr">
        <is>
          <t>District Website</t>
        </is>
      </c>
      <c r="J61" s="7" t="inlineStr">
        <is>
          <t>Yes</t>
        </is>
      </c>
      <c r="K61" s="7" t="inlineStr">
        <is>
          <t>Yes</t>
        </is>
      </c>
      <c r="L61" s="7" t="inlineStr">
        <is>
          <t>Not Started</t>
        </is>
      </c>
      <c r="M61" s="7" t="inlineStr"/>
      <c r="N61" s="7" t="inlineStr">
        <is>
          <t>Schedule introductory call</t>
        </is>
      </c>
      <c r="O61" s="7" t="inlineStr">
        <is>
          <t>Unknown</t>
        </is>
      </c>
      <c r="P61" s="7" t="inlineStr">
        <is>
          <t>~47000 students; 101 Old Venice Road Osprey FL 34229</t>
        </is>
      </c>
    </row>
    <row r="62">
      <c r="A62" s="10" t="inlineStr">
        <is>
          <t>Deborah Wuest</t>
        </is>
      </c>
      <c r="B62" s="10" t="inlineStr">
        <is>
          <t>Director - Child Nutrition Services</t>
        </is>
      </c>
      <c r="C62" s="10" t="inlineStr">
        <is>
          <t>St. Lucie County Public Schools</t>
        </is>
      </c>
      <c r="D62" s="10" t="inlineStr">
        <is>
          <t>Local — School District</t>
        </is>
      </c>
      <c r="E62" s="10" t="inlineStr">
        <is>
          <t>Food Service</t>
        </is>
      </c>
      <c r="F62" s="10" t="inlineStr">
        <is>
          <t>Tier 3</t>
        </is>
      </c>
      <c r="G62" s="10" t="inlineStr">
        <is>
          <t>Medium</t>
        </is>
      </c>
      <c r="H62" s="10" t="inlineStr">
        <is>
          <t>St. Lucie County, FL</t>
        </is>
      </c>
      <c r="I62" s="10" t="inlineStr">
        <is>
          <t>District Website</t>
        </is>
      </c>
      <c r="J62" s="10" t="inlineStr">
        <is>
          <t>Yes</t>
        </is>
      </c>
      <c r="K62" s="10" t="inlineStr">
        <is>
          <t>Yes</t>
        </is>
      </c>
      <c r="L62" s="10" t="inlineStr">
        <is>
          <t>Not Started</t>
        </is>
      </c>
      <c r="M62" s="10" t="inlineStr"/>
      <c r="N62" s="10" t="inlineStr">
        <is>
          <t>Schedule introductory call</t>
        </is>
      </c>
      <c r="O62" s="10" t="inlineStr">
        <is>
          <t>Unknown</t>
        </is>
      </c>
      <c r="P62" s="10" t="inlineStr">
        <is>
          <t>~42000 students; 2202 Avenue Q Fort Pierce FL 34950</t>
        </is>
      </c>
    </row>
    <row r="63">
      <c r="A63" s="7" t="inlineStr">
        <is>
          <t>[VP Food Service — Research]</t>
        </is>
      </c>
      <c r="B63" s="7" t="inlineStr">
        <is>
          <t>VP of Food Service Operations</t>
        </is>
      </c>
      <c r="C63" s="7" t="inlineStr">
        <is>
          <t>GEO Group Inc.</t>
        </is>
      </c>
      <c r="D63" s="7" t="inlineStr">
        <is>
          <t>Private Contractor — Corrections</t>
        </is>
      </c>
      <c r="E63" s="7" t="inlineStr">
        <is>
          <t>Food Service / Procurement</t>
        </is>
      </c>
      <c r="F63" s="7" t="inlineStr">
        <is>
          <t>Tier 1</t>
        </is>
      </c>
      <c r="G63" s="7" t="inlineStr">
        <is>
          <t>High</t>
        </is>
      </c>
      <c r="H63" s="7" t="inlineStr">
        <is>
          <t>Boca Raton FL (HQ)</t>
        </is>
      </c>
      <c r="I63" s="7" t="inlineStr">
        <is>
          <t>Apollo / LinkedIn</t>
        </is>
      </c>
      <c r="J63" s="7" t="inlineStr">
        <is>
          <t>No</t>
        </is>
      </c>
      <c r="K63" s="7" t="inlineStr">
        <is>
          <t>Yes</t>
        </is>
      </c>
      <c r="L63" s="7" t="inlineStr">
        <is>
          <t>Not Started</t>
        </is>
      </c>
      <c r="M63" s="7" t="inlineStr"/>
      <c r="N63" s="7" t="inlineStr">
        <is>
          <t>Research VP Food Service contact via LinkedIn/Apollo</t>
        </is>
      </c>
      <c r="O63" s="7" t="inlineStr">
        <is>
          <t>GEO Group IS the contractor</t>
        </is>
      </c>
      <c r="P63" s="7" t="inlineStr">
        <is>
          <t>GEO Group: 2nd largest private prison operator. 100+ facilities. HQ in Boca Raton FL = local. ~$2.4B revenue. They issue food supply RFPs to vendors.</t>
        </is>
      </c>
    </row>
    <row r="64">
      <c r="A64" s="10" t="inlineStr">
        <is>
          <t>[VP Food Service — Research]</t>
        </is>
      </c>
      <c r="B64" s="10" t="inlineStr">
        <is>
          <t>VP of Food Service Operations</t>
        </is>
      </c>
      <c r="C64" s="10" t="inlineStr">
        <is>
          <t>CoreCivic Inc.</t>
        </is>
      </c>
      <c r="D64" s="10" t="inlineStr">
        <is>
          <t>Private Contractor — Corrections</t>
        </is>
      </c>
      <c r="E64" s="10" t="inlineStr">
        <is>
          <t>Food Service / Procurement</t>
        </is>
      </c>
      <c r="F64" s="10" t="inlineStr">
        <is>
          <t>Tier 1</t>
        </is>
      </c>
      <c r="G64" s="10" t="inlineStr">
        <is>
          <t>High</t>
        </is>
      </c>
      <c r="H64" s="10" t="inlineStr">
        <is>
          <t>Nashville TN (HQ)</t>
        </is>
      </c>
      <c r="I64" s="10" t="inlineStr">
        <is>
          <t>Apollo / LinkedIn</t>
        </is>
      </c>
      <c r="J64" s="10" t="inlineStr">
        <is>
          <t>No</t>
        </is>
      </c>
      <c r="K64" s="10" t="inlineStr">
        <is>
          <t>Yes</t>
        </is>
      </c>
      <c r="L64" s="10" t="inlineStr">
        <is>
          <t>Not Started</t>
        </is>
      </c>
      <c r="M64" s="10" t="inlineStr"/>
      <c r="N64" s="10" t="inlineStr">
        <is>
          <t>Research VP Food Service contact via LinkedIn/Apollo</t>
        </is>
      </c>
      <c r="O64" s="10" t="inlineStr">
        <is>
          <t>CoreCivic IS the contractor</t>
        </is>
      </c>
      <c r="P64" s="10" t="inlineStr">
        <is>
          <t>CoreCivic: Largest private prison operator. 70+ facilities. ~$1.9B revenue. Issue their own vendor RFPs for food supply.</t>
        </is>
      </c>
    </row>
    <row r="65">
      <c r="A65" s="7" t="inlineStr">
        <is>
          <t>[Director of Nutrition — Research]</t>
        </is>
      </c>
      <c r="B65" s="7" t="inlineStr">
        <is>
          <t>Director of Nutrition Services</t>
        </is>
      </c>
      <c r="C65" s="7" t="inlineStr">
        <is>
          <t>Aramark Corrections</t>
        </is>
      </c>
      <c r="D65" s="7" t="inlineStr">
        <is>
          <t>Private Contractor — Corrections</t>
        </is>
      </c>
      <c r="E65" s="7" t="inlineStr">
        <is>
          <t>Food Service / Procurement</t>
        </is>
      </c>
      <c r="F65" s="7" t="inlineStr">
        <is>
          <t>Tier 1</t>
        </is>
      </c>
      <c r="G65" s="7" t="inlineStr">
        <is>
          <t>High</t>
        </is>
      </c>
      <c r="H65" s="7" t="inlineStr">
        <is>
          <t>Philadelphia PA (HQ)</t>
        </is>
      </c>
      <c r="I65" s="7" t="inlineStr">
        <is>
          <t>Apollo / LinkedIn</t>
        </is>
      </c>
      <c r="J65" s="7" t="inlineStr">
        <is>
          <t>No</t>
        </is>
      </c>
      <c r="K65" s="7" t="inlineStr">
        <is>
          <t>Yes</t>
        </is>
      </c>
      <c r="L65" s="7" t="inlineStr">
        <is>
          <t>Not Started</t>
        </is>
      </c>
      <c r="M65" s="7" t="inlineStr"/>
      <c r="N65" s="7" t="inlineStr">
        <is>
          <t>Apply as approved vendor via Aramark supplier portal</t>
        </is>
      </c>
      <c r="O65" s="7" t="inlineStr">
        <is>
          <t>Aramark IS the contractor</t>
        </is>
      </c>
      <c r="P65" s="7" t="inlineStr">
        <is>
          <t>Aramark Corrections: Largest FSMC in corrections. 450+ prisons. Become approved supplier = instant volume.</t>
        </is>
      </c>
    </row>
    <row r="66">
      <c r="A66" s="10" t="inlineStr">
        <is>
          <t>[Director of Procurement — Research]</t>
        </is>
      </c>
      <c r="B66" s="10" t="inlineStr">
        <is>
          <t>Director of Procurement</t>
        </is>
      </c>
      <c r="C66" s="10" t="inlineStr">
        <is>
          <t>Trinity Services Group (TKC Holdings)</t>
        </is>
      </c>
      <c r="D66" s="10" t="inlineStr">
        <is>
          <t>Private Contractor — Corrections</t>
        </is>
      </c>
      <c r="E66" s="10" t="inlineStr">
        <is>
          <t>Food Service / Procurement</t>
        </is>
      </c>
      <c r="F66" s="10" t="inlineStr">
        <is>
          <t>Tier 1</t>
        </is>
      </c>
      <c r="G66" s="10" t="inlineStr">
        <is>
          <t>High</t>
        </is>
      </c>
      <c r="H66" s="10" t="inlineStr">
        <is>
          <t>Oldsmar FL (HQ)</t>
        </is>
      </c>
      <c r="I66" s="10" t="inlineStr">
        <is>
          <t>Apollo / LinkedIn</t>
        </is>
      </c>
      <c r="J66" s="10" t="inlineStr">
        <is>
          <t>No</t>
        </is>
      </c>
      <c r="K66" s="10" t="inlineStr">
        <is>
          <t>Yes</t>
        </is>
      </c>
      <c r="L66" s="10" t="inlineStr">
        <is>
          <t>Not Started</t>
        </is>
      </c>
      <c r="M66" s="10" t="inlineStr"/>
      <c r="N66" s="10" t="inlineStr">
        <is>
          <t>Research procurement contact. Trinity HQ is in FL = local meeting possible.</t>
        </is>
      </c>
      <c r="O66" s="10" t="inlineStr">
        <is>
          <t>Trinity IS the contractor</t>
        </is>
      </c>
      <c r="P66" s="10" t="inlineStr">
        <is>
          <t>Trinity: Major prison food service provider. 400+ facilities. HQ in Oldsmar FL = LOCAL. Also owns Keefe Group (commissary).</t>
        </is>
      </c>
    </row>
    <row r="67">
      <c r="A67" s="7" t="inlineStr">
        <is>
          <t>[Director of Procurement — Research]</t>
        </is>
      </c>
      <c r="B67" s="7" t="inlineStr">
        <is>
          <t>Director of Procurement</t>
        </is>
      </c>
      <c r="C67" s="7" t="inlineStr">
        <is>
          <t>Keefe Group (TKC Holdings)</t>
        </is>
      </c>
      <c r="D67" s="7" t="inlineStr">
        <is>
          <t>Private Contractor — Commissary</t>
        </is>
      </c>
      <c r="E67" s="7" t="inlineStr">
        <is>
          <t>Commissary / Procurement</t>
        </is>
      </c>
      <c r="F67" s="7" t="inlineStr">
        <is>
          <t>Tier 1</t>
        </is>
      </c>
      <c r="G67" s="7" t="inlineStr">
        <is>
          <t>High</t>
        </is>
      </c>
      <c r="H67" s="7" t="inlineStr">
        <is>
          <t>St. Louis MO (HQ)</t>
        </is>
      </c>
      <c r="I67" s="7" t="inlineStr">
        <is>
          <t>Apollo / LinkedIn</t>
        </is>
      </c>
      <c r="J67" s="7" t="inlineStr">
        <is>
          <t>No</t>
        </is>
      </c>
      <c r="K67" s="7" t="inlineStr">
        <is>
          <t>Yes</t>
        </is>
      </c>
      <c r="L67" s="7" t="inlineStr">
        <is>
          <t>Not Started</t>
        </is>
      </c>
      <c r="M67" s="7" t="inlineStr"/>
      <c r="N67" s="7" t="inlineStr">
        <is>
          <t>Research procurement contact. Keefe supplies commissary goods to inmates.</t>
        </is>
      </c>
      <c r="O67" s="7" t="inlineStr">
        <is>
          <t>Keefe IS the contractor</t>
        </is>
      </c>
      <c r="P67" s="7" t="inlineStr">
        <is>
          <t>Keefe Group: Largest prison commissary operator. Candy/snacks/food = Newport's core. Owned by TKC Holdings (same as Trinity).</t>
        </is>
      </c>
    </row>
    <row r="68">
      <c r="A68" s="10" t="inlineStr">
        <is>
          <t>[Regional VP Southeast — Research]</t>
        </is>
      </c>
      <c r="B68" s="10" t="inlineStr">
        <is>
          <t>Regional VP / Division Director</t>
        </is>
      </c>
      <c r="C68" s="10" t="inlineStr">
        <is>
          <t>Compass Group (Chartwells)</t>
        </is>
      </c>
      <c r="D68" s="10" t="inlineStr">
        <is>
          <t>Private Contractor — Education</t>
        </is>
      </c>
      <c r="E68" s="10" t="inlineStr">
        <is>
          <t>Food Service / Procurement</t>
        </is>
      </c>
      <c r="F68" s="10" t="inlineStr">
        <is>
          <t>Tier 1</t>
        </is>
      </c>
      <c r="G68" s="10" t="inlineStr">
        <is>
          <t>High</t>
        </is>
      </c>
      <c r="H68" s="10" t="inlineStr">
        <is>
          <t>Charlotte NC (HQ)</t>
        </is>
      </c>
      <c r="I68" s="10" t="inlineStr">
        <is>
          <t>Apollo / LinkedIn</t>
        </is>
      </c>
      <c r="J68" s="10" t="inlineStr">
        <is>
          <t>No</t>
        </is>
      </c>
      <c r="K68" s="10" t="inlineStr">
        <is>
          <t>Yes</t>
        </is>
      </c>
      <c r="L68" s="10" t="inlineStr">
        <is>
          <t>Not Started</t>
        </is>
      </c>
      <c r="M68" s="10" t="inlineStr"/>
      <c r="N68" s="10" t="inlineStr">
        <is>
          <t>Research Southeast regional contacts. Chartwells manages FL school food.</t>
        </is>
      </c>
      <c r="O68" s="10" t="inlineStr">
        <is>
          <t>Compass IS the contractor</t>
        </is>
      </c>
      <c r="P68" s="10" t="inlineStr">
        <is>
          <t>Compass/Chartwells: World's largest FSMC. $60B parent. Chartwells manages school food service (e.g. Duval County FL). Become approved supplier.</t>
        </is>
      </c>
    </row>
    <row r="69">
      <c r="A69" s="7" t="inlineStr">
        <is>
          <t>[Director of Procurement — Research]</t>
        </is>
      </c>
      <c r="B69" s="7" t="inlineStr">
        <is>
          <t>Director of Procurement</t>
        </is>
      </c>
      <c r="C69" s="7" t="inlineStr">
        <is>
          <t>Sodexo USA</t>
        </is>
      </c>
      <c r="D69" s="7" t="inlineStr">
        <is>
          <t>Private Contractor — Multi-sector</t>
        </is>
      </c>
      <c r="E69" s="7" t="inlineStr">
        <is>
          <t>Food Service / Procurement</t>
        </is>
      </c>
      <c r="F69" s="7" t="inlineStr">
        <is>
          <t>Tier 2</t>
        </is>
      </c>
      <c r="G69" s="7" t="inlineStr">
        <is>
          <t>High</t>
        </is>
      </c>
      <c r="H69" s="7" t="inlineStr">
        <is>
          <t>Gaithersburg MD (HQ)</t>
        </is>
      </c>
      <c r="I69" s="7" t="inlineStr">
        <is>
          <t>Apollo / LinkedIn</t>
        </is>
      </c>
      <c r="J69" s="7" t="inlineStr">
        <is>
          <t>No</t>
        </is>
      </c>
      <c r="K69" s="7" t="inlineStr">
        <is>
          <t>Yes</t>
        </is>
      </c>
      <c r="L69" s="7" t="inlineStr">
        <is>
          <t>Not Started</t>
        </is>
      </c>
      <c r="M69" s="7" t="inlineStr"/>
      <c r="N69" s="7" t="inlineStr">
        <is>
          <t>Apply as approved vendor via Sodexo supplier portal</t>
        </is>
      </c>
      <c r="O69" s="7" t="inlineStr">
        <is>
          <t>Sodexo IS the contractor</t>
        </is>
      </c>
      <c r="P69" s="7" t="inlineStr">
        <is>
          <t>Sodexo: 3rd largest FSMC. Government/education/healthcare food service. Become approved supplier.</t>
        </is>
      </c>
    </row>
    <row r="70">
      <c r="A70" s="10" t="inlineStr">
        <is>
          <t>[VP Vendor Relations — Research]</t>
        </is>
      </c>
      <c r="B70" s="10" t="inlineStr">
        <is>
          <t>VP of Vendor Relations</t>
        </is>
      </c>
      <c r="C70" s="10" t="inlineStr">
        <is>
          <t>Summit Food Service</t>
        </is>
      </c>
      <c r="D70" s="10" t="inlineStr">
        <is>
          <t>Private Contractor — Corrections</t>
        </is>
      </c>
      <c r="E70" s="10" t="inlineStr">
        <is>
          <t>Food Service / Procurement</t>
        </is>
      </c>
      <c r="F70" s="10" t="inlineStr">
        <is>
          <t>Tier 2</t>
        </is>
      </c>
      <c r="G70" s="10" t="inlineStr">
        <is>
          <t>High</t>
        </is>
      </c>
      <c r="H70" s="10" t="inlineStr">
        <is>
          <t>Pueblo CO (HQ)</t>
        </is>
      </c>
      <c r="I70" s="10" t="inlineStr">
        <is>
          <t>Apollo / LinkedIn</t>
        </is>
      </c>
      <c r="J70" s="10" t="inlineStr">
        <is>
          <t>No</t>
        </is>
      </c>
      <c r="K70" s="10" t="inlineStr">
        <is>
          <t>Yes</t>
        </is>
      </c>
      <c r="L70" s="10" t="inlineStr">
        <is>
          <t>Not Started</t>
        </is>
      </c>
      <c r="M70" s="10" t="inlineStr"/>
      <c r="N70" s="10" t="inlineStr">
        <is>
          <t>Research vendor relations contact</t>
        </is>
      </c>
      <c r="O70" s="10" t="inlineStr">
        <is>
          <t>Summit IS the contractor</t>
        </is>
      </c>
      <c r="P70" s="10" t="inlineStr">
        <is>
          <t>Summit: Growing corrections food service company. Focuses on mid-size jails/prisons.</t>
        </is>
      </c>
    </row>
    <row r="71">
      <c r="A71" s="7" t="inlineStr">
        <is>
          <t>Tim Barttrum</t>
        </is>
      </c>
      <c r="B71" s="7" t="inlineStr">
        <is>
          <t>President &amp; CEO Aramark Correctional Services</t>
        </is>
      </c>
      <c r="C71" s="7" t="inlineStr">
        <is>
          <t>Aramark Correctional Services</t>
        </is>
      </c>
      <c r="D71" s="7" t="inlineStr">
        <is>
          <t>Private Contractor — Corrections</t>
        </is>
      </c>
      <c r="E71" s="7" t="inlineStr">
        <is>
          <t>Food Service / Executive</t>
        </is>
      </c>
      <c r="F71" s="7" t="inlineStr">
        <is>
          <t>Tier 1</t>
        </is>
      </c>
      <c r="G71" s="7" t="inlineStr">
        <is>
          <t>High</t>
        </is>
      </c>
      <c r="H71" s="7" t="inlineStr">
        <is>
          <t>Philadelphia PA (HQ)</t>
        </is>
      </c>
      <c r="I71" s="7" t="inlineStr">
        <is>
          <t>ZoomInfo / LinkedIn</t>
        </is>
      </c>
      <c r="J71" s="7" t="inlineStr">
        <is>
          <t>Yes (@aramark.com)</t>
        </is>
      </c>
      <c r="K71" s="7" t="inlineStr">
        <is>
          <t>Yes</t>
        </is>
      </c>
      <c r="L71" s="7" t="inlineStr">
        <is>
          <t>Not Started</t>
        </is>
      </c>
      <c r="M71" s="7" t="inlineStr"/>
      <c r="N71" s="7" t="inlineStr">
        <is>
          <t>National corrections leader. Aramark holds FL DOC contract C3021 ($423M) through April 2027.</t>
        </is>
      </c>
      <c r="O71" s="7" t="inlineStr">
        <is>
          <t>Aramark IS the contractor</t>
        </is>
      </c>
      <c r="P71" s="7" t="inlineStr">
        <is>
          <t>Aramark Corrections: 450+ prisons. FL DOC contract $3.089/prisoner/day. Tim Barttrum leads corrections division.</t>
        </is>
      </c>
    </row>
    <row r="72">
      <c r="A72" s="10" t="inlineStr">
        <is>
          <t>Michael Maltese</t>
        </is>
      </c>
      <c r="B72" s="10" t="inlineStr">
        <is>
          <t>District Manager — Corrections (FL)</t>
        </is>
      </c>
      <c r="C72" s="10" t="inlineStr">
        <is>
          <t>Aramark Correctional Services</t>
        </is>
      </c>
      <c r="D72" s="10" t="inlineStr">
        <is>
          <t>Private Contractor — Corrections</t>
        </is>
      </c>
      <c r="E72" s="10" t="inlineStr">
        <is>
          <t>Food Service / Regional Mgmt</t>
        </is>
      </c>
      <c r="F72" s="10" t="inlineStr">
        <is>
          <t>Tier 1</t>
        </is>
      </c>
      <c r="G72" s="10" t="inlineStr">
        <is>
          <t>High</t>
        </is>
      </c>
      <c r="H72" s="10" t="inlineStr">
        <is>
          <t>Ocala FL</t>
        </is>
      </c>
      <c r="I72" s="10" t="inlineStr">
        <is>
          <t>LinkedIn</t>
        </is>
      </c>
      <c r="J72" s="10" t="inlineStr">
        <is>
          <t>No</t>
        </is>
      </c>
      <c r="K72" s="10" t="inlineStr">
        <is>
          <t>No</t>
        </is>
      </c>
      <c r="L72" s="10" t="inlineStr">
        <is>
          <t>Not Started</t>
        </is>
      </c>
      <c r="M72" s="10" t="inlineStr"/>
      <c r="N72" s="10" t="inlineStr">
        <is>
          <t>FL-based Aramark corrections manager. Local meeting possible.</t>
        </is>
      </c>
      <c r="O72" s="10" t="inlineStr">
        <is>
          <t>Aramark IS the contractor</t>
        </is>
      </c>
      <c r="P72" s="10" t="inlineStr">
        <is>
          <t>Aramark FL District Manager for corrections. Based in Ocala FL. Manages FL prison food service operations.</t>
        </is>
      </c>
    </row>
    <row r="73">
      <c r="A73" s="7" t="inlineStr">
        <is>
          <t>Joseph Olivera</t>
        </is>
      </c>
      <c r="B73" s="7" t="inlineStr">
        <is>
          <t>General Manager — Corrections (Jacksonville)</t>
        </is>
      </c>
      <c r="C73" s="7" t="inlineStr">
        <is>
          <t>Aramark Correctional Services</t>
        </is>
      </c>
      <c r="D73" s="7" t="inlineStr">
        <is>
          <t>Private Contractor — Corrections</t>
        </is>
      </c>
      <c r="E73" s="7" t="inlineStr">
        <is>
          <t>Food Service / Operations</t>
        </is>
      </c>
      <c r="F73" s="7" t="inlineStr">
        <is>
          <t>Tier 2</t>
        </is>
      </c>
      <c r="G73" s="7" t="inlineStr">
        <is>
          <t>Medium</t>
        </is>
      </c>
      <c r="H73" s="7" t="inlineStr">
        <is>
          <t>Jacksonville FL</t>
        </is>
      </c>
      <c r="I73" s="7" t="inlineStr">
        <is>
          <t>LinkedIn</t>
        </is>
      </c>
      <c r="J73" s="7" t="inlineStr">
        <is>
          <t>No</t>
        </is>
      </c>
      <c r="K73" s="7" t="inlineStr">
        <is>
          <t>No</t>
        </is>
      </c>
      <c r="L73" s="7" t="inlineStr">
        <is>
          <t>Not Started</t>
        </is>
      </c>
      <c r="M73" s="7" t="inlineStr"/>
      <c r="N73" s="7" t="inlineStr">
        <is>
          <t>Jacksonville-based Aramark corrections GM.</t>
        </is>
      </c>
      <c r="O73" s="7" t="inlineStr">
        <is>
          <t>Aramark IS the contractor</t>
        </is>
      </c>
      <c r="P73" s="7" t="inlineStr">
        <is>
          <t>Aramark General Manager in Jacksonville FL. Operational management of correctional food service.</t>
        </is>
      </c>
    </row>
    <row r="74">
      <c r="A74" s="10" t="inlineStr">
        <is>
          <t>Brenda Lail</t>
        </is>
      </c>
      <c r="B74" s="10" t="inlineStr">
        <is>
          <t>Director Government Sales</t>
        </is>
      </c>
      <c r="C74" s="10" t="inlineStr">
        <is>
          <t>US Foods Inc.</t>
        </is>
      </c>
      <c r="D74" s="10" t="inlineStr">
        <is>
          <t>Private Contractor — Distribution</t>
        </is>
      </c>
      <c r="E74" s="10" t="inlineStr">
        <is>
          <t>Government Sales</t>
        </is>
      </c>
      <c r="F74" s="10" t="inlineStr">
        <is>
          <t>Tier 1</t>
        </is>
      </c>
      <c r="G74" s="10" t="inlineStr">
        <is>
          <t>High</t>
        </is>
      </c>
      <c r="H74" s="10" t="inlineStr">
        <is>
          <t>Rosemont IL (HQ)</t>
        </is>
      </c>
      <c r="I74" s="10" t="inlineStr">
        <is>
          <t>TheOrg / LinkedIn</t>
        </is>
      </c>
      <c r="J74" s="10" t="inlineStr">
        <is>
          <t>Yes (@usfoods.com)</t>
        </is>
      </c>
      <c r="K74" s="10" t="inlineStr">
        <is>
          <t>Yes</t>
        </is>
      </c>
      <c r="L74" s="10" t="inlineStr">
        <is>
          <t>Not Started</t>
        </is>
      </c>
      <c r="M74" s="10" t="inlineStr"/>
      <c r="N74" s="10" t="inlineStr">
        <is>
          <t>National govt sales director since 1996. US Foods holds FL state Alternate Contract Source agreement.</t>
        </is>
      </c>
      <c r="O74" s="10" t="inlineStr">
        <is>
          <t>US Foods IS the prime vendor</t>
        </is>
      </c>
      <c r="P74" s="10" t="inlineStr">
        <is>
          <t>US Foods: Holds FL DMS Alternate Contract Source for food products. Brenda Lail is longest-serving govt sales director. Also holds DLA bridge contract ($130M).</t>
        </is>
      </c>
    </row>
    <row r="75">
      <c r="A75" s="7" t="inlineStr">
        <is>
          <t>Nelson DeFigueiredo</t>
        </is>
      </c>
      <c r="B75" s="7" t="inlineStr">
        <is>
          <t>President Atlantic Division</t>
        </is>
      </c>
      <c r="C75" s="7" t="inlineStr">
        <is>
          <t>Compass Group / Chartwells</t>
        </is>
      </c>
      <c r="D75" s="7" t="inlineStr">
        <is>
          <t>Private Contractor — Education</t>
        </is>
      </c>
      <c r="E75" s="7" t="inlineStr">
        <is>
          <t>Food Service / Executive</t>
        </is>
      </c>
      <c r="F75" s="7" t="inlineStr">
        <is>
          <t>Tier 1</t>
        </is>
      </c>
      <c r="G75" s="7" t="inlineStr">
        <is>
          <t>High</t>
        </is>
      </c>
      <c r="H75" s="7" t="inlineStr">
        <is>
          <t>Charlotte NC area</t>
        </is>
      </c>
      <c r="I75" s="7" t="inlineStr">
        <is>
          <t>ZoomInfo / LinkedIn</t>
        </is>
      </c>
      <c r="J75" s="7" t="inlineStr">
        <is>
          <t>Yes (@compass-usa.com)</t>
        </is>
      </c>
      <c r="K75" s="7" t="inlineStr">
        <is>
          <t>Yes</t>
        </is>
      </c>
      <c r="L75" s="7" t="inlineStr">
        <is>
          <t>Not Started</t>
        </is>
      </c>
      <c r="M75" s="7" t="inlineStr"/>
      <c r="N75" s="7" t="inlineStr">
        <is>
          <t>Chartwells Atlantic division covers FL education (e.g. UF). Become approved supplier.</t>
        </is>
      </c>
      <c r="O75" s="7" t="inlineStr">
        <is>
          <t>Compass IS the contractor</t>
        </is>
      </c>
      <c r="P75" s="7" t="inlineStr">
        <is>
          <t>Compass/Chartwells: Atlantic Division President. Covers FL higher education dining. UF 'Florida Fresh Dining' is flagship FL account.</t>
        </is>
      </c>
    </row>
    <row r="76">
      <c r="A76" s="10" t="inlineStr">
        <is>
          <t>Lenny Scranton</t>
        </is>
      </c>
      <c r="B76" s="10" t="inlineStr">
        <is>
          <t>Division President (South — NC/SC/GA/FL)</t>
        </is>
      </c>
      <c r="C76" s="10" t="inlineStr">
        <is>
          <t>Morrison Healthcare (Compass)</t>
        </is>
      </c>
      <c r="D76" s="10" t="inlineStr">
        <is>
          <t>Private Contractor — Healthcare</t>
        </is>
      </c>
      <c r="E76" s="10" t="inlineStr">
        <is>
          <t>Food Service / Executive</t>
        </is>
      </c>
      <c r="F76" s="10" t="inlineStr">
        <is>
          <t>Tier 2</t>
        </is>
      </c>
      <c r="G76" s="10" t="inlineStr">
        <is>
          <t>High</t>
        </is>
      </c>
      <c r="H76" s="10" t="inlineStr">
        <is>
          <t>Woodstock GA</t>
        </is>
      </c>
      <c r="I76" s="10" t="inlineStr">
        <is>
          <t>ZoomInfo / LinkedIn</t>
        </is>
      </c>
      <c r="J76" s="10" t="inlineStr">
        <is>
          <t>Yes (@iammorrison.com)</t>
        </is>
      </c>
      <c r="K76" s="10" t="inlineStr">
        <is>
          <t>No</t>
        </is>
      </c>
      <c r="L76" s="10" t="inlineStr">
        <is>
          <t>Not Started</t>
        </is>
      </c>
      <c r="M76" s="10" t="inlineStr"/>
      <c r="N76" s="10" t="inlineStr">
        <is>
          <t>Morrison Healthcare covers FL hospitals. Apply as approved food supplier.</t>
        </is>
      </c>
      <c r="O76" s="10" t="inlineStr">
        <is>
          <t>Morrison/Compass IS the contractor</t>
        </is>
      </c>
      <c r="P76" s="10" t="inlineStr">
        <is>
          <t>Morrison Healthcare: Division President covering FL hospital food service. Part of Compass Group ($60B parent).</t>
        </is>
      </c>
    </row>
    <row r="77">
      <c r="A77" s="7" t="inlineStr">
        <is>
          <t>Michael Svagdis</t>
        </is>
      </c>
      <c r="B77" s="7" t="inlineStr">
        <is>
          <t>CEO Campus &amp; Government, Sodexo North America</t>
        </is>
      </c>
      <c r="C77" s="7" t="inlineStr">
        <is>
          <t>Sodexo USA</t>
        </is>
      </c>
      <c r="D77" s="7" t="inlineStr">
        <is>
          <t>Private Contractor — Multi-sector</t>
        </is>
      </c>
      <c r="E77" s="7" t="inlineStr">
        <is>
          <t>Government Services / Executive</t>
        </is>
      </c>
      <c r="F77" s="7" t="inlineStr">
        <is>
          <t>Tier 2</t>
        </is>
      </c>
      <c r="G77" s="7" t="inlineStr">
        <is>
          <t>High</t>
        </is>
      </c>
      <c r="H77" s="7" t="inlineStr">
        <is>
          <t>Gaithersburg MD (HQ)</t>
        </is>
      </c>
      <c r="I77" s="7" t="inlineStr">
        <is>
          <t>BusinessWire / LinkedIn</t>
        </is>
      </c>
      <c r="J77" s="7" t="inlineStr">
        <is>
          <t>Yes (@sodexo.com)</t>
        </is>
      </c>
      <c r="K77" s="7" t="inlineStr">
        <is>
          <t>Yes</t>
        </is>
      </c>
      <c r="L77" s="7" t="inlineStr">
        <is>
          <t>Not Started</t>
        </is>
      </c>
      <c r="M77" s="7" t="inlineStr"/>
      <c r="N77" s="7" t="inlineStr">
        <is>
          <t>New CEO (Feb 2025). Sodexo = largest federal food service contractor. Does NOT do corrections.</t>
        </is>
      </c>
      <c r="O77" s="7" t="inlineStr">
        <is>
          <t>Sodexo IS the contractor</t>
        </is>
      </c>
      <c r="P77" s="7" t="inlineStr">
        <is>
          <t>Sodexo: Largest federal food service company. 100+ civilian/military sites. 30M+ meals/yr. NOTE: Does NOT serve corrections in US.</t>
        </is>
      </c>
    </row>
  </sheetData>
  <autoFilter ref="A1:P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23" customWidth="1" min="7" max="7"/>
    <col width="16" customWidth="1" min="8" max="8"/>
    <col width="18" customWidth="1" min="9" max="9"/>
    <col width="19" customWidth="1" min="10" max="10"/>
    <col width="14" customWidth="1" min="11" max="11"/>
    <col width="14" customWidth="1" min="12" max="12"/>
  </cols>
  <sheetData>
    <row r="1" ht="35" customHeight="1">
      <c r="A1" s="6" t="inlineStr">
        <is>
          <t>Contract/PO Number</t>
        </is>
      </c>
      <c r="B1" s="6" t="inlineStr">
        <is>
          <t>Agency/Client</t>
        </is>
      </c>
      <c r="C1" s="6" t="inlineStr">
        <is>
          <t>Description</t>
        </is>
      </c>
      <c r="D1" s="6" t="inlineStr">
        <is>
          <t>Value</t>
        </is>
      </c>
      <c r="E1" s="6" t="inlineStr">
        <is>
          <t>Period Start</t>
        </is>
      </c>
      <c r="F1" s="6" t="inlineStr">
        <is>
          <t>Period End</t>
        </is>
      </c>
      <c r="G1" s="6" t="inlineStr">
        <is>
          <t>On-Time Delivery Rate</t>
        </is>
      </c>
      <c r="H1" s="6" t="inlineStr">
        <is>
          <t>Quality Issues</t>
        </is>
      </c>
      <c r="I1" s="6" t="inlineStr">
        <is>
          <t>Reference Letter</t>
        </is>
      </c>
      <c r="J1" s="6" t="inlineStr">
        <is>
          <t>Reference Contact</t>
        </is>
      </c>
      <c r="K1" s="6" t="inlineStr">
        <is>
          <t>CPARS Rating</t>
        </is>
      </c>
      <c r="L1" s="6" t="inlineStr">
        <is>
          <t>Notes</t>
        </is>
      </c>
    </row>
    <row r="2">
      <c r="A2" s="10" t="inlineStr">
        <is>
          <t>[To be populated as contracts are won]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>
      <c r="A3" s="7" t="inlineStr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</row>
    <row r="4">
      <c r="A4" s="10" t="inlineStr">
        <is>
          <t>INSTRUCTIONS: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>
      <c r="A5" s="7" t="inlineStr">
        <is>
          <t>1. After every government delivery, log it here immediately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>
      <c r="A6" s="10" t="inlineStr">
        <is>
          <t>2. Request a written reference letter after every successful delivery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>
      <c r="A7" s="7" t="inlineStr">
        <is>
          <t>3. Track on-time rate and quality issues — this data goes into future proposals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>
      <c r="A8" s="10" t="inlineStr">
        <is>
          <t>4. For federal contracts, monitor CPARS ratings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>
      <c r="A9" s="7" t="inlineStr">
        <is>
          <t>5. Goal: 5+ documented references in Year 1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</sheetData>
  <autoFilter ref="A1:L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52" customWidth="1" min="1" max="1"/>
    <col width="52" customWidth="1" min="2" max="2"/>
    <col width="50" customWidth="1" min="3" max="3"/>
    <col width="38" customWidth="1" min="4" max="4"/>
    <col width="43" customWidth="1" min="5" max="5"/>
  </cols>
  <sheetData>
    <row r="1">
      <c r="A1" s="19" t="inlineStr">
        <is>
          <t>Opportunity Priority Scoring Model</t>
        </is>
      </c>
    </row>
    <row r="2">
      <c r="A2" s="14" t="inlineStr">
        <is>
          <t>Score range: 0-100. Higher = higher priority for Newport.</t>
        </is>
      </c>
    </row>
    <row r="3"/>
    <row r="4" ht="35" customHeight="1">
      <c r="A4" s="6" t="inlineStr">
        <is>
          <t>Factor</t>
        </is>
      </c>
      <c r="B4" s="6" t="inlineStr">
        <is>
          <t>Points</t>
        </is>
      </c>
      <c r="C4" s="6" t="inlineStr">
        <is>
          <t>HIGH Score Criteria</t>
        </is>
      </c>
      <c r="D4" s="6" t="inlineStr">
        <is>
          <t>MEDIUM Score Criteria</t>
        </is>
      </c>
      <c r="E4" s="6" t="inlineStr">
        <is>
          <t>LOW Score Criteria</t>
        </is>
      </c>
    </row>
    <row r="5">
      <c r="A5" s="7" t="inlineStr">
        <is>
          <t>Set-Aside Status</t>
        </is>
      </c>
      <c r="B5" s="7" t="n">
        <v>25</v>
      </c>
      <c r="C5" s="7" t="inlineStr">
        <is>
          <t>Small Business set-aside (25 pts)</t>
        </is>
      </c>
      <c r="D5" s="7" t="inlineStr">
        <is>
          <t>HUBZone or other preference (15 pts)</t>
        </is>
      </c>
      <c r="E5" s="7" t="inlineStr">
        <is>
          <t>Full &amp; Open (5 pts)</t>
        </is>
      </c>
    </row>
    <row r="6">
      <c r="A6" s="10" t="inlineStr">
        <is>
          <t>Past Performance Requirement</t>
        </is>
      </c>
      <c r="B6" s="10" t="n">
        <v>20</v>
      </c>
      <c r="C6" s="10" t="inlineStr">
        <is>
          <t>None required (20 pts)</t>
        </is>
      </c>
      <c r="D6" s="10" t="inlineStr">
        <is>
          <t>Minimal / private-sector OK (15 pts)</t>
        </is>
      </c>
      <c r="E6" s="10" t="inlineStr">
        <is>
          <t>Significant gov experience needed (5 pts)</t>
        </is>
      </c>
    </row>
    <row r="7">
      <c r="A7" s="7" t="inlineStr">
        <is>
          <t>Geographic Fit</t>
        </is>
      </c>
      <c r="B7" s="7" t="n">
        <v>20</v>
      </c>
      <c r="C7" s="7" t="inlineStr">
        <is>
          <t>Florida — within delivery range (20 pts)</t>
        </is>
      </c>
      <c r="D7" s="7" t="inlineStr">
        <is>
          <t>Southeast US (10 pts)</t>
        </is>
      </c>
      <c r="E7" s="7" t="inlineStr">
        <is>
          <t>National / out of range (0 pts)</t>
        </is>
      </c>
    </row>
    <row r="8">
      <c r="A8" s="10" t="inlineStr">
        <is>
          <t>Contract Value</t>
        </is>
      </c>
      <c r="B8" s="10" t="n">
        <v>15</v>
      </c>
      <c r="C8" s="10" t="inlineStr">
        <is>
          <t>$100K+ annual value (15 pts)</t>
        </is>
      </c>
      <c r="D8" s="10" t="inlineStr">
        <is>
          <t>$25K-$100K (10 pts)</t>
        </is>
      </c>
      <c r="E8" s="10" t="inlineStr">
        <is>
          <t>Under $25K (5 pts)</t>
        </is>
      </c>
    </row>
    <row r="9">
      <c r="A9" s="7" t="inlineStr">
        <is>
          <t>Competition Level</t>
        </is>
      </c>
      <c r="B9" s="7" t="n">
        <v>10</v>
      </c>
      <c r="C9" s="7" t="inlineStr">
        <is>
          <t>Few bidders expected / sole source (10 pts)</t>
        </is>
      </c>
      <c r="D9" s="7" t="inlineStr">
        <is>
          <t>Moderate competition (5 pts)</t>
        </is>
      </c>
      <c r="E9" s="7" t="inlineStr">
        <is>
          <t>Heavy competition (0 pts)</t>
        </is>
      </c>
    </row>
    <row r="10">
      <c r="A10" s="10" t="inlineStr">
        <is>
          <t>Relationship Status</t>
        </is>
      </c>
      <c r="B10" s="10" t="n">
        <v>10</v>
      </c>
      <c r="C10" s="10" t="inlineStr">
        <is>
          <t>Active relationship with decision maker (10 pts)</t>
        </is>
      </c>
      <c r="D10" s="10" t="inlineStr">
        <is>
          <t>Some prior contact (5 pts)</t>
        </is>
      </c>
      <c r="E10" s="10" t="inlineStr">
        <is>
          <t>No relationship (0 pts)</t>
        </is>
      </c>
    </row>
    <row r="11"/>
    <row r="12">
      <c r="A12" s="20" t="inlineStr">
        <is>
          <t>Priority Tiers</t>
        </is>
      </c>
    </row>
    <row r="13">
      <c r="A13" s="21" t="inlineStr">
        <is>
          <t>HIGH (70-100)</t>
        </is>
      </c>
      <c r="B13" s="14" t="inlineStr">
        <is>
          <t>Actively pursue — assign to salesperson immediately</t>
        </is>
      </c>
    </row>
    <row r="14">
      <c r="A14" s="22" t="inlineStr">
        <is>
          <t>MEDIUM (40-69)</t>
        </is>
      </c>
      <c r="B14" s="14" t="inlineStr">
        <is>
          <t>Evaluate — worth a response if bandwidth allows</t>
        </is>
      </c>
    </row>
    <row r="15">
      <c r="A15" s="23" t="inlineStr">
        <is>
          <t>LOW (0-39)</t>
        </is>
      </c>
      <c r="B15" s="14" t="inlineStr">
        <is>
          <t>Monitor — track for future reference, no action now</t>
        </is>
      </c>
    </row>
  </sheetData>
  <autoFilter ref="A4:E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9" customWidth="1" min="3" max="3"/>
    <col width="20" customWidth="1" min="4" max="4"/>
    <col width="42" customWidth="1" min="5" max="5"/>
    <col width="40" customWidth="1" min="6" max="6"/>
    <col width="21" customWidth="1" min="7" max="7"/>
    <col width="18" customWidth="1" min="8" max="8"/>
    <col width="42" customWidth="1" min="9" max="9"/>
  </cols>
  <sheetData>
    <row r="1" ht="35" customHeight="1">
      <c r="A1" s="6" t="inlineStr">
        <is>
          <t>Event</t>
        </is>
      </c>
      <c r="B1" s="6" t="inlineStr">
        <is>
          <t>Association</t>
        </is>
      </c>
      <c r="C1" s="6" t="inlineStr">
        <is>
          <t>Typical Date</t>
        </is>
      </c>
      <c r="D1" s="6" t="inlineStr">
        <is>
          <t>Location</t>
        </is>
      </c>
      <c r="E1" s="6" t="inlineStr">
        <is>
          <t>Target Contacts</t>
        </is>
      </c>
      <c r="F1" s="6" t="inlineStr">
        <is>
          <t>Registration Cost</t>
        </is>
      </c>
      <c r="G1" s="6" t="inlineStr">
        <is>
          <t>Registration Status</t>
        </is>
      </c>
      <c r="H1" s="6" t="inlineStr">
        <is>
          <t>Newport Attendee</t>
        </is>
      </c>
      <c r="I1" s="6" t="inlineStr">
        <is>
          <t>Notes</t>
        </is>
      </c>
    </row>
    <row r="2">
      <c r="A2" s="10" t="inlineStr">
        <is>
          <t>FL School Nutrition Association Conference</t>
        </is>
      </c>
      <c r="B2" s="10" t="inlineStr">
        <is>
          <t>FSNA / SNA</t>
        </is>
      </c>
      <c r="C2" s="10" t="inlineStr">
        <is>
          <t>Spring 2026 (TBD)</t>
        </is>
      </c>
      <c r="D2" s="10" t="inlineStr">
        <is>
          <t>Florida</t>
        </is>
      </c>
      <c r="E2" s="10" t="inlineStr">
        <is>
          <t>FL school district food service directors</t>
        </is>
      </c>
      <c r="F2" s="10" t="inlineStr">
        <is>
          <t>$75 membership + $200-400 conference</t>
        </is>
      </c>
      <c r="G2" s="10" t="inlineStr">
        <is>
          <t>Not Registered</t>
        </is>
      </c>
      <c r="H2" s="10" t="inlineStr">
        <is>
          <t>TBD</t>
        </is>
      </c>
      <c r="I2" s="10" t="inlineStr">
        <is>
          <t>PRIORITY: Every FL school nutrition director in one room</t>
        </is>
      </c>
    </row>
    <row r="3">
      <c r="A3" s="7" t="inlineStr">
        <is>
          <t>ACFSA Annual Conference</t>
        </is>
      </c>
      <c r="B3" s="7" t="inlineStr">
        <is>
          <t>American Correctional Food Service Association</t>
        </is>
      </c>
      <c r="C3" s="7" t="inlineStr">
        <is>
          <t>August 2026</t>
        </is>
      </c>
      <c r="D3" s="7" t="inlineStr">
        <is>
          <t>Varies (national)</t>
        </is>
      </c>
      <c r="E3" s="7" t="inlineStr">
        <is>
          <t>Corrections food service administrators nationwide</t>
        </is>
      </c>
      <c r="F3" s="7" t="inlineStr">
        <is>
          <t>$150 membership + $500-800 conference</t>
        </is>
      </c>
      <c r="G3" s="7" t="inlineStr">
        <is>
          <t>Not Registered</t>
        </is>
      </c>
      <c r="H3" s="7" t="inlineStr">
        <is>
          <t>TBD</t>
        </is>
      </c>
      <c r="I3" s="7" t="inlineStr">
        <is>
          <t>Best networking for prison food service contacts</t>
        </is>
      </c>
    </row>
    <row r="4">
      <c r="A4" s="10" t="inlineStr">
        <is>
          <t>ALA Annual Conference &amp; EXPO</t>
        </is>
      </c>
      <c r="B4" s="10" t="inlineStr">
        <is>
          <t>American Logistics Association</t>
        </is>
      </c>
      <c r="C4" s="10" t="inlineStr">
        <is>
          <t>January 2027</t>
        </is>
      </c>
      <c r="D4" s="10" t="inlineStr">
        <is>
          <t>Washington DC area</t>
        </is>
      </c>
      <c r="E4" s="10" t="inlineStr">
        <is>
          <t>Military commissary buyers, DLA personnel, DeCA contacts</t>
        </is>
      </c>
      <c r="F4" s="10" t="inlineStr">
        <is>
          <t>$500 membership + $800-1200 conference</t>
        </is>
      </c>
      <c r="G4" s="10" t="inlineStr">
        <is>
          <t>Not Registered</t>
        </is>
      </c>
      <c r="H4" s="10" t="inlineStr">
        <is>
          <t>TBD</t>
        </is>
      </c>
      <c r="I4" s="10" t="inlineStr">
        <is>
          <t>Military food supply chain. Premium event.</t>
        </is>
      </c>
    </row>
    <row r="5">
      <c r="A5" s="7" t="inlineStr">
        <is>
          <t>FL Association of Counties Annual Conference</t>
        </is>
      </c>
      <c r="B5" s="7" t="inlineStr">
        <is>
          <t>FAC</t>
        </is>
      </c>
      <c r="C5" s="7" t="inlineStr">
        <is>
          <t>June 2026</t>
        </is>
      </c>
      <c r="D5" s="7" t="inlineStr">
        <is>
          <t>Florida</t>
        </is>
      </c>
      <c r="E5" s="7" t="inlineStr">
        <is>
          <t>County purchasing officials across all 67 FL counties</t>
        </is>
      </c>
      <c r="F5" s="7" t="inlineStr">
        <is>
          <t>Varies</t>
        </is>
      </c>
      <c r="G5" s="7" t="inlineStr">
        <is>
          <t>Not Registered</t>
        </is>
      </c>
      <c r="H5" s="7" t="inlineStr">
        <is>
          <t>TBD</t>
        </is>
      </c>
      <c r="I5" s="7" t="inlineStr">
        <is>
          <t>Access to county jail and facility food purchasing contacts</t>
        </is>
      </c>
    </row>
    <row r="6">
      <c r="A6" s="10" t="inlineStr">
        <is>
          <t>School Nutrition Association ANC</t>
        </is>
      </c>
      <c r="B6" s="10" t="inlineStr">
        <is>
          <t>SNA (National)</t>
        </is>
      </c>
      <c r="C6" s="10" t="inlineStr">
        <is>
          <t>July 2026</t>
        </is>
      </c>
      <c r="D6" s="10" t="inlineStr">
        <is>
          <t>Varies (national)</t>
        </is>
      </c>
      <c r="E6" s="10" t="inlineStr">
        <is>
          <t>10,000+ school nutrition professionals nationwide</t>
        </is>
      </c>
      <c r="F6" s="10" t="inlineStr">
        <is>
          <t>$75 membership + $500-700 conference</t>
        </is>
      </c>
      <c r="G6" s="10" t="inlineStr">
        <is>
          <t>Not Registered</t>
        </is>
      </c>
      <c r="H6" s="10" t="inlineStr">
        <is>
          <t>TBD</t>
        </is>
      </c>
      <c r="I6" s="10" t="inlineStr">
        <is>
          <t>National event. Attend after establishing FL presence.</t>
        </is>
      </c>
    </row>
    <row r="7">
      <c r="A7" s="7" t="inlineStr">
        <is>
          <t>Florida Restaurant &amp; Lodging Show</t>
        </is>
      </c>
      <c r="B7" s="7" t="inlineStr">
        <is>
          <t>FRLA</t>
        </is>
      </c>
      <c r="C7" s="7" t="inlineStr">
        <is>
          <t>Fall 2026</t>
        </is>
      </c>
      <c r="D7" s="7" t="inlineStr">
        <is>
          <t>Orlando, FL</t>
        </is>
      </c>
      <c r="E7" s="7" t="inlineStr">
        <is>
          <t>FL food service industry contacts</t>
        </is>
      </c>
      <c r="F7" s="7" t="inlineStr">
        <is>
          <t>Varies</t>
        </is>
      </c>
      <c r="G7" s="7" t="inlineStr">
        <is>
          <t>Not Registered</t>
        </is>
      </c>
      <c r="H7" s="7" t="inlineStr">
        <is>
          <t>TBD</t>
        </is>
      </c>
      <c r="I7" s="7" t="inlineStr">
        <is>
          <t>Secondary priority. Broader food industry networking.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2026-02-21T19:46:38Z</dcterms:created>
  <dcterms:modified xmlns:dcterms="http://purl.org/dc/terms/" xmlns:xsi="http://www.w3.org/2001/XMLSchema-instance" xsi:type="dcterms:W3CDTF">2026-02-21T19:46:38Z</dcterms:modified>
</cp:coreProperties>
</file>